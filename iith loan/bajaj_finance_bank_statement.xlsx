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k Statement" sheetId="1" state="visible" r:id="rId1"/>
    <sheet xmlns:r="http://schemas.openxmlformats.org/officeDocument/2006/relationships" name="Monthly Summary" sheetId="2" state="visible" r:id="rId2"/>
    <sheet xmlns:r="http://schemas.openxmlformats.org/officeDocument/2006/relationships" name="Anomaly Fla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-MMM-YYYY"/>
    <numFmt numFmtId="166" formatCode="#,##0;(#,##0);-"/>
  </numFmts>
  <fonts count="10">
    <font>
      <name val="Calibri"/>
      <family val="2"/>
      <color theme="1"/>
      <sz val="11"/>
      <scheme val="minor"/>
    </font>
    <font>
      <name val="Arial"/>
      <b val="1"/>
      <color rgb="001A3C5E"/>
      <sz val="14"/>
    </font>
    <font>
      <name val="Arial"/>
      <b val="1"/>
      <color rgb="001A3C5E"/>
      <sz val="9"/>
    </font>
    <font>
      <name val="Arial"/>
      <sz val="9"/>
    </font>
    <font>
      <name val="Arial"/>
      <b val="1"/>
      <color rgb="00FFFFFF"/>
      <sz val="10"/>
    </font>
    <font>
      <name val="Arial"/>
      <b val="1"/>
      <sz val="9"/>
    </font>
    <font>
      <name val="Arial"/>
      <b val="1"/>
      <color rgb="001A3C5E"/>
      <sz val="13"/>
    </font>
    <font>
      <name val="Arial"/>
      <color rgb="00375623"/>
      <sz val="9"/>
    </font>
    <font>
      <name val="Arial"/>
      <color rgb="00833C00"/>
      <sz val="9"/>
    </font>
    <font>
      <name val="Arial"/>
      <b val="1"/>
      <color rgb="00FFFFFF"/>
      <sz val="12"/>
    </font>
  </fonts>
  <fills count="11">
    <fill>
      <patternFill/>
    </fill>
    <fill>
      <patternFill patternType="gray125"/>
    </fill>
    <fill>
      <patternFill patternType="solid">
        <fgColor rgb="001A3C5E"/>
      </patternFill>
    </fill>
    <fill>
      <patternFill patternType="solid">
        <fgColor rgb="00EBF2FA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FFF99"/>
      </patternFill>
    </fill>
    <fill>
      <patternFill patternType="solid">
        <fgColor rgb="00C00000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DEEAF1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165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vertical="center"/>
    </xf>
    <xf numFmtId="166" fontId="3" fillId="0" borderId="1" applyAlignment="1" pivotButton="0" quotePrefix="0" xfId="0">
      <alignment horizontal="right" vertical="center"/>
    </xf>
    <xf numFmtId="166" fontId="5" fillId="3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vertical="center"/>
    </xf>
    <xf numFmtId="166" fontId="3" fillId="4" borderId="1" applyAlignment="1" pivotButton="0" quotePrefix="0" xfId="0">
      <alignment horizontal="right" vertical="center"/>
    </xf>
    <xf numFmtId="166" fontId="5" fillId="0" borderId="1" applyAlignment="1" pivotButton="0" quotePrefix="0" xfId="0">
      <alignment horizontal="right" vertical="center"/>
    </xf>
    <xf numFmtId="166" fontId="3" fillId="5" borderId="1" applyAlignment="1" pivotButton="0" quotePrefix="0" xfId="0">
      <alignment horizontal="right" vertical="center"/>
    </xf>
    <xf numFmtId="165" fontId="3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vertical="center"/>
    </xf>
    <xf numFmtId="166" fontId="3" fillId="6" borderId="1" applyAlignment="1" pivotButton="0" quotePrefix="0" xfId="0">
      <alignment horizontal="right" vertical="center"/>
    </xf>
    <xf numFmtId="166" fontId="5" fillId="6" borderId="1" applyAlignment="1" pivotButton="0" quotePrefix="0" xfId="0">
      <alignment horizontal="right" vertical="center"/>
    </xf>
    <xf numFmtId="0" fontId="4" fillId="2" borderId="1" applyAlignment="1" pivotButton="0" quotePrefix="0" xfId="0">
      <alignment horizontal="center" vertical="center"/>
    </xf>
    <xf numFmtId="166" fontId="4" fillId="2" borderId="1" applyAlignment="1" pivotButton="0" quotePrefix="0" xfId="0">
      <alignment horizontal="right" vertical="center"/>
    </xf>
    <xf numFmtId="0" fontId="6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/>
    </xf>
    <xf numFmtId="3" fontId="7" fillId="3" borderId="1" pivotButton="0" quotePrefix="0" xfId="0"/>
    <xf numFmtId="3" fontId="8" fillId="3" borderId="1" pivotButton="0" quotePrefix="0" xfId="0"/>
    <xf numFmtId="166" fontId="5" fillId="3" borderId="1" pivotButton="0" quotePrefix="0" xfId="0"/>
    <xf numFmtId="0" fontId="3" fillId="0" borderId="1" applyAlignment="1" pivotButton="0" quotePrefix="0" xfId="0">
      <alignment horizontal="center"/>
    </xf>
    <xf numFmtId="3" fontId="7" fillId="0" borderId="1" pivotButton="0" quotePrefix="0" xfId="0"/>
    <xf numFmtId="3" fontId="8" fillId="0" borderId="1" pivotButton="0" quotePrefix="0" xfId="0"/>
    <xf numFmtId="166" fontId="5" fillId="0" borderId="1" pivotButton="0" quotePrefix="0" xfId="0"/>
    <xf numFmtId="0" fontId="9" fillId="7" borderId="0" applyAlignment="1" pivotButton="0" quotePrefix="0" xfId="0">
      <alignment horizontal="center" vertical="center"/>
    </xf>
    <xf numFmtId="0" fontId="5" fillId="8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left" vertical="center"/>
    </xf>
    <xf numFmtId="166" fontId="3" fillId="8" borderId="1" applyAlignment="1" pivotButton="0" quotePrefix="0" xfId="0">
      <alignment horizontal="right" vertical="center"/>
    </xf>
    <xf numFmtId="0" fontId="3" fillId="8" borderId="1" applyAlignment="1" pivotButton="0" quotePrefix="0" xfId="0">
      <alignment horizontal="right" vertical="center"/>
    </xf>
    <xf numFmtId="0" fontId="3" fillId="8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right" vertical="center"/>
    </xf>
    <xf numFmtId="0" fontId="3" fillId="9" borderId="1" applyAlignment="1" pivotButton="0" quotePrefix="0" xfId="0">
      <alignment horizontal="left" vertical="center" wrapText="1"/>
    </xf>
    <xf numFmtId="0" fontId="5" fillId="10" borderId="1" applyAlignment="1" pivotButton="0" quotePrefix="0" xfId="0">
      <alignment horizontal="left" vertical="center"/>
    </xf>
    <xf numFmtId="0" fontId="3" fillId="10" borderId="1" applyAlignment="1" pivotButton="0" quotePrefix="0" xfId="0">
      <alignment horizontal="left" vertical="center"/>
    </xf>
    <xf numFmtId="0" fontId="3" fillId="10" borderId="1" applyAlignment="1" pivotButton="0" quotePrefix="0" xfId="0">
      <alignment horizontal="right" vertical="center"/>
    </xf>
    <xf numFmtId="0" fontId="3" fillId="1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9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14" customWidth="1" min="1" max="1"/>
    <col width="42" customWidth="1" min="2" max="2"/>
    <col width="16" customWidth="1" min="3" max="3"/>
    <col width="16" customWidth="1" min="4" max="4"/>
    <col width="16" customWidth="1" min="5" max="5"/>
    <col width="16" customWidth="1" min="6" max="6"/>
    <col width="26" customWidth="1" min="7" max="7"/>
  </cols>
  <sheetData>
    <row r="1" ht="28" customHeight="1">
      <c r="A1" s="1" t="inlineStr">
        <is>
          <t>ICICI BANK LIMITED — CURRENT ACCOUNT STATEMENT</t>
        </is>
      </c>
    </row>
    <row r="2">
      <c r="A2" s="2" t="inlineStr">
        <is>
          <t>Account Holder :</t>
        </is>
      </c>
      <c r="B2" s="3" t="inlineStr">
        <is>
          <t>Bajaj Finance Limited</t>
        </is>
      </c>
    </row>
    <row r="3">
      <c r="A3" s="2" t="inlineStr">
        <is>
          <t>Account Number :</t>
        </is>
      </c>
      <c r="B3" s="3" t="inlineStr">
        <is>
          <t>XXXX XXXX 7734</t>
        </is>
      </c>
    </row>
    <row r="4">
      <c r="A4" s="2" t="inlineStr">
        <is>
          <t>Branch          :</t>
        </is>
      </c>
      <c r="B4" s="3" t="inlineStr">
        <is>
          <t>Pune - Shivajinagar Branch</t>
        </is>
      </c>
    </row>
    <row r="5">
      <c r="A5" s="2" t="inlineStr">
        <is>
          <t>IFSC Code       :</t>
        </is>
      </c>
      <c r="B5" s="3" t="inlineStr">
        <is>
          <t>ICIC0000104</t>
        </is>
      </c>
    </row>
    <row r="6">
      <c r="A6" s="2" t="inlineStr">
        <is>
          <t>CIN             :</t>
        </is>
      </c>
      <c r="B6" s="3" t="inlineStr">
        <is>
          <t>U65910MH1987PLC042961</t>
        </is>
      </c>
    </row>
    <row r="7">
      <c r="A7" s="2" t="inlineStr">
        <is>
          <t>GSTIN           :</t>
        </is>
      </c>
      <c r="B7" s="3" t="inlineStr">
        <is>
          <t>27AABCB0067G1ZN</t>
        </is>
      </c>
    </row>
    <row r="8">
      <c r="A8" s="2" t="inlineStr">
        <is>
          <t>Statement Period:</t>
        </is>
      </c>
      <c r="B8" s="3" t="inlineStr">
        <is>
          <t>01-Apr-2022 to 31-Mar-2024</t>
        </is>
      </c>
    </row>
    <row r="9">
      <c r="A9" s="2" t="inlineStr">
        <is>
          <t>Currency        :</t>
        </is>
      </c>
      <c r="B9" s="3" t="inlineStr">
        <is>
          <t>INR (Indian Rupees)</t>
        </is>
      </c>
    </row>
    <row r="11" ht="30" customHeight="1">
      <c r="A11" s="4" t="inlineStr">
        <is>
          <t>Date</t>
        </is>
      </c>
      <c r="B11" s="4" t="inlineStr">
        <is>
          <t>Txn Ref / Description</t>
        </is>
      </c>
      <c r="C11" s="4" t="inlineStr">
        <is>
          <t>Txn Type</t>
        </is>
      </c>
      <c r="D11" s="4" t="inlineStr">
        <is>
          <t>Debit (₹)</t>
        </is>
      </c>
      <c r="E11" s="4" t="inlineStr">
        <is>
          <t>Credit (₹)</t>
        </is>
      </c>
      <c r="F11" s="4" t="inlineStr">
        <is>
          <t>Balance (₹)</t>
        </is>
      </c>
      <c r="G11" s="4" t="inlineStr">
        <is>
          <t>Remarks</t>
        </is>
      </c>
    </row>
    <row r="12" ht="16" customHeight="1">
      <c r="A12" s="5" t="n">
        <v>44652</v>
      </c>
      <c r="B12" s="6" t="inlineStr">
        <is>
          <t>Opening Balance</t>
        </is>
      </c>
      <c r="C12" s="6" t="inlineStr">
        <is>
          <t>OPENING</t>
        </is>
      </c>
      <c r="D12" s="7" t="inlineStr"/>
      <c r="E12" s="7" t="inlineStr"/>
      <c r="F12" s="8" t="n">
        <v>2000000000</v>
      </c>
      <c r="G12" s="6" t="inlineStr">
        <is>
          <t>Opening Balance</t>
        </is>
      </c>
    </row>
    <row r="13" ht="16" customHeight="1">
      <c r="A13" s="9" t="n">
        <v>44654</v>
      </c>
      <c r="B13" s="10" t="inlineStr">
        <is>
          <t>NEFT-EMI COLLECTIONS-CONSUMER DURABLE LOANS</t>
        </is>
      </c>
      <c r="C13" s="10" t="inlineStr">
        <is>
          <t>NEFT</t>
        </is>
      </c>
      <c r="D13" s="7" t="inlineStr"/>
      <c r="E13" s="11" t="n">
        <v>850000000</v>
      </c>
      <c r="F13" s="12" t="n">
        <v>2850000000</v>
      </c>
      <c r="G13" s="10" t="inlineStr">
        <is>
          <t>Consumer loan EMI collections</t>
        </is>
      </c>
    </row>
    <row r="14" ht="16" customHeight="1">
      <c r="A14" s="5" t="n">
        <v>44656</v>
      </c>
      <c r="B14" s="6" t="inlineStr">
        <is>
          <t>LOAN DISBURSEMENT-PERSONAL LOAN BATCH APR-A</t>
        </is>
      </c>
      <c r="C14" s="6" t="inlineStr">
        <is>
          <t>NEFT</t>
        </is>
      </c>
      <c r="D14" s="13" t="n">
        <v>1200000000</v>
      </c>
      <c r="E14" s="7" t="inlineStr"/>
      <c r="F14" s="8" t="n">
        <v>1650000000</v>
      </c>
      <c r="G14" s="6" t="inlineStr">
        <is>
          <t>Personal loan disbursements</t>
        </is>
      </c>
    </row>
    <row r="15" ht="16" customHeight="1">
      <c r="A15" s="9" t="n">
        <v>44658</v>
      </c>
      <c r="B15" s="10" t="inlineStr">
        <is>
          <t>GST PAYMENT-MAR 2022-GSTR3B</t>
        </is>
      </c>
      <c r="C15" s="10" t="inlineStr">
        <is>
          <t>NEFT</t>
        </is>
      </c>
      <c r="D15" s="13" t="n">
        <v>42000000</v>
      </c>
      <c r="E15" s="7" t="inlineStr"/>
      <c r="F15" s="12" t="n">
        <v>1608000000</v>
      </c>
      <c r="G15" s="10" t="inlineStr">
        <is>
          <t>GST Mar-22 payment</t>
        </is>
      </c>
    </row>
    <row r="16" ht="16" customHeight="1">
      <c r="A16" s="5" t="n">
        <v>44659</v>
      </c>
      <c r="B16" s="6" t="inlineStr">
        <is>
          <t>NEFT-EMI COLLECTIONS-HOME LOAN DIVISION</t>
        </is>
      </c>
      <c r="C16" s="6" t="inlineStr">
        <is>
          <t>NEFT</t>
        </is>
      </c>
      <c r="D16" s="7" t="inlineStr"/>
      <c r="E16" s="11" t="n">
        <v>620000000</v>
      </c>
      <c r="F16" s="8" t="n">
        <v>2228000000</v>
      </c>
      <c r="G16" s="6" t="inlineStr">
        <is>
          <t>Home loan EMI collections</t>
        </is>
      </c>
    </row>
    <row r="17" ht="16" customHeight="1">
      <c r="A17" s="9" t="n">
        <v>44661</v>
      </c>
      <c r="B17" s="10" t="inlineStr">
        <is>
          <t>SALARY TRANSFER-APR 2022-32000 EMPLOYEES</t>
        </is>
      </c>
      <c r="C17" s="10" t="inlineStr">
        <is>
          <t>NEFT</t>
        </is>
      </c>
      <c r="D17" s="13" t="n">
        <v>480000000</v>
      </c>
      <c r="E17" s="7" t="inlineStr"/>
      <c r="F17" s="12" t="n">
        <v>1748000000</v>
      </c>
      <c r="G17" s="10" t="inlineStr">
        <is>
          <t>Monthly salary</t>
        </is>
      </c>
    </row>
    <row r="18" ht="16" customHeight="1">
      <c r="A18" s="5" t="n">
        <v>44663</v>
      </c>
      <c r="B18" s="6" t="inlineStr">
        <is>
          <t>RTGS-EMI COLLECTIONS-TWO WHEELER LOANS</t>
        </is>
      </c>
      <c r="C18" s="6" t="inlineStr">
        <is>
          <t>RTGS</t>
        </is>
      </c>
      <c r="D18" s="7" t="inlineStr"/>
      <c r="E18" s="11" t="n">
        <v>410000000</v>
      </c>
      <c r="F18" s="8" t="n">
        <v>2158000000</v>
      </c>
      <c r="G18" s="6" t="inlineStr">
        <is>
          <t>Two wheeler EMI collections</t>
        </is>
      </c>
    </row>
    <row r="19" ht="16" customHeight="1">
      <c r="A19" s="9" t="n">
        <v>44665</v>
      </c>
      <c r="B19" s="10" t="inlineStr">
        <is>
          <t>NEFT-EMI COLLECTIONS-SME LOANS</t>
        </is>
      </c>
      <c r="C19" s="10" t="inlineStr">
        <is>
          <t>NEFT</t>
        </is>
      </c>
      <c r="D19" s="7" t="inlineStr"/>
      <c r="E19" s="11" t="n">
        <v>380000000</v>
      </c>
      <c r="F19" s="12" t="n">
        <v>2538000000</v>
      </c>
      <c r="G19" s="10" t="inlineStr">
        <is>
          <t>SME loan collections</t>
        </is>
      </c>
    </row>
    <row r="20" ht="16" customHeight="1">
      <c r="A20" s="5" t="n">
        <v>44666</v>
      </c>
      <c r="B20" s="6" t="inlineStr">
        <is>
          <t>LOAN DISBURSEMENT-TWO WHEELER BATCH APR-B</t>
        </is>
      </c>
      <c r="C20" s="6" t="inlineStr">
        <is>
          <t>NEFT</t>
        </is>
      </c>
      <c r="D20" s="13" t="n">
        <v>680000000</v>
      </c>
      <c r="E20" s="7" t="inlineStr"/>
      <c r="F20" s="8" t="n">
        <v>1858000000</v>
      </c>
      <c r="G20" s="6" t="inlineStr">
        <is>
          <t>Two wheeler disbursements</t>
        </is>
      </c>
    </row>
    <row r="21" ht="16" customHeight="1">
      <c r="A21" s="9" t="n">
        <v>44669</v>
      </c>
      <c r="B21" s="10" t="inlineStr">
        <is>
          <t>NEFT-EMI COLLECTIONS-RURAL FINANCE DIVISION</t>
        </is>
      </c>
      <c r="C21" s="10" t="inlineStr">
        <is>
          <t>NEFT</t>
        </is>
      </c>
      <c r="D21" s="7" t="inlineStr"/>
      <c r="E21" s="11" t="n">
        <v>290000000</v>
      </c>
      <c r="F21" s="12" t="n">
        <v>2148000000</v>
      </c>
      <c r="G21" s="10" t="inlineStr">
        <is>
          <t>Rural finance collections</t>
        </is>
      </c>
    </row>
    <row r="22" ht="16" customHeight="1">
      <c r="A22" s="5" t="n">
        <v>44671</v>
      </c>
      <c r="B22" s="6" t="inlineStr">
        <is>
          <t>RENT PAYMENT-HEAD OFFICE-PUNE APR 2022</t>
        </is>
      </c>
      <c r="C22" s="6" t="inlineStr">
        <is>
          <t>NEFT</t>
        </is>
      </c>
      <c r="D22" s="13" t="n">
        <v>18000000</v>
      </c>
      <c r="E22" s="7" t="inlineStr"/>
      <c r="F22" s="8" t="n">
        <v>2130000000</v>
      </c>
      <c r="G22" s="6" t="inlineStr">
        <is>
          <t>HO rent Pune</t>
        </is>
      </c>
    </row>
    <row r="23" ht="16" customHeight="1">
      <c r="A23" s="9" t="n">
        <v>44673</v>
      </c>
      <c r="B23" s="10" t="inlineStr">
        <is>
          <t>RTGS-EMI COLLECTIONS-CORPORATE LENDING</t>
        </is>
      </c>
      <c r="C23" s="10" t="inlineStr">
        <is>
          <t>RTGS</t>
        </is>
      </c>
      <c r="D23" s="7" t="inlineStr"/>
      <c r="E23" s="11" t="n">
        <v>720000000</v>
      </c>
      <c r="F23" s="12" t="n">
        <v>2850000000</v>
      </c>
      <c r="G23" s="10" t="inlineStr">
        <is>
          <t>Corporate loan collections</t>
        </is>
      </c>
    </row>
    <row r="24" ht="16" customHeight="1">
      <c r="A24" s="5" t="n">
        <v>44676</v>
      </c>
      <c r="B24" s="6" t="inlineStr">
        <is>
          <t>INSURANCE PREMIUM-GROUP CREDIT INSURANCE</t>
        </is>
      </c>
      <c r="C24" s="6" t="inlineStr">
        <is>
          <t>NEFT</t>
        </is>
      </c>
      <c r="D24" s="13" t="n">
        <v>85000000</v>
      </c>
      <c r="E24" s="7" t="inlineStr"/>
      <c r="F24" s="8" t="n">
        <v>2765000000</v>
      </c>
      <c r="G24" s="6" t="inlineStr">
        <is>
          <t>Credit insurance premium</t>
        </is>
      </c>
    </row>
    <row r="25" ht="16" customHeight="1">
      <c r="A25" s="9" t="n">
        <v>44679</v>
      </c>
      <c r="B25" s="10" t="inlineStr">
        <is>
          <t>NEFT-EMI COLLECTIONS-DIGITAL LOANS APP</t>
        </is>
      </c>
      <c r="C25" s="10" t="inlineStr">
        <is>
          <t>NEFT</t>
        </is>
      </c>
      <c r="D25" s="7" t="inlineStr"/>
      <c r="E25" s="11" t="n">
        <v>190000000</v>
      </c>
      <c r="F25" s="12" t="n">
        <v>2955000000</v>
      </c>
      <c r="G25" s="10" t="inlineStr">
        <is>
          <t>Digital app loan collections</t>
        </is>
      </c>
    </row>
    <row r="26" ht="16" customHeight="1">
      <c r="A26" s="5" t="n">
        <v>44681</v>
      </c>
      <c r="B26" s="6" t="inlineStr">
        <is>
          <t>INTEREST PAYMENT-NCD DEBENTURE HOLDERS</t>
        </is>
      </c>
      <c r="C26" s="6" t="inlineStr">
        <is>
          <t>NEFT</t>
        </is>
      </c>
      <c r="D26" s="13" t="n">
        <v>320000000</v>
      </c>
      <c r="E26" s="7" t="inlineStr"/>
      <c r="F26" s="8" t="n">
        <v>2635000000</v>
      </c>
      <c r="G26" s="6" t="inlineStr">
        <is>
          <t>NCD interest payment</t>
        </is>
      </c>
    </row>
    <row r="27" ht="16" customHeight="1">
      <c r="A27" s="9" t="n">
        <v>44683</v>
      </c>
      <c r="B27" s="10" t="inlineStr">
        <is>
          <t>NEFT-EMI COLLECTIONS-CONSUMER DURABLES MAY</t>
        </is>
      </c>
      <c r="C27" s="10" t="inlineStr">
        <is>
          <t>NEFT</t>
        </is>
      </c>
      <c r="D27" s="7" t="inlineStr"/>
      <c r="E27" s="11" t="n">
        <v>880000000</v>
      </c>
      <c r="F27" s="12" t="n">
        <v>3515000000</v>
      </c>
      <c r="G27" s="10" t="inlineStr">
        <is>
          <t>Consumer loan collections</t>
        </is>
      </c>
    </row>
    <row r="28" ht="16" customHeight="1">
      <c r="A28" s="5" t="n">
        <v>44686</v>
      </c>
      <c r="B28" s="6" t="inlineStr">
        <is>
          <t>GST PAYMENT-APR 2022</t>
        </is>
      </c>
      <c r="C28" s="6" t="inlineStr">
        <is>
          <t>NEFT</t>
        </is>
      </c>
      <c r="D28" s="13" t="n">
        <v>44000000</v>
      </c>
      <c r="E28" s="7" t="inlineStr"/>
      <c r="F28" s="8" t="n">
        <v>3471000000</v>
      </c>
      <c r="G28" s="6" t="inlineStr">
        <is>
          <t>GST Apr-22 payment</t>
        </is>
      </c>
    </row>
    <row r="29" ht="16" customHeight="1">
      <c r="A29" s="9" t="n">
        <v>44688</v>
      </c>
      <c r="B29" s="10" t="inlineStr">
        <is>
          <t>RTGS-EMI COLLECTIONS-HOME LOANS MAY</t>
        </is>
      </c>
      <c r="C29" s="10" t="inlineStr">
        <is>
          <t>RTGS</t>
        </is>
      </c>
      <c r="D29" s="7" t="inlineStr"/>
      <c r="E29" s="11" t="n">
        <v>640000000</v>
      </c>
      <c r="F29" s="12" t="n">
        <v>4111000000</v>
      </c>
      <c r="G29" s="10" t="inlineStr">
        <is>
          <t>Home loan collections</t>
        </is>
      </c>
    </row>
    <row r="30" ht="16" customHeight="1">
      <c r="A30" s="5" t="n">
        <v>44691</v>
      </c>
      <c r="B30" s="6" t="inlineStr">
        <is>
          <t>SALARY TRANSFER-MAY 2022</t>
        </is>
      </c>
      <c r="C30" s="6" t="inlineStr">
        <is>
          <t>NEFT</t>
        </is>
      </c>
      <c r="D30" s="13" t="n">
        <v>485000000</v>
      </c>
      <c r="E30" s="7" t="inlineStr"/>
      <c r="F30" s="8" t="n">
        <v>3626000000</v>
      </c>
      <c r="G30" s="6" t="inlineStr">
        <is>
          <t>Monthly salary</t>
        </is>
      </c>
    </row>
    <row r="31" ht="16" customHeight="1">
      <c r="A31" s="9" t="n">
        <v>44693</v>
      </c>
      <c r="B31" s="10" t="inlineStr">
        <is>
          <t>LOAN DISBURSEMENT-PERSONAL LOAN BATCH MAY</t>
        </is>
      </c>
      <c r="C31" s="10" t="inlineStr">
        <is>
          <t>NEFT</t>
        </is>
      </c>
      <c r="D31" s="13" t="n">
        <v>1250000000</v>
      </c>
      <c r="E31" s="7" t="inlineStr"/>
      <c r="F31" s="12" t="n">
        <v>2376000000</v>
      </c>
      <c r="G31" s="10" t="inlineStr">
        <is>
          <t>Personal loan disbursements</t>
        </is>
      </c>
    </row>
    <row r="32" ht="16" customHeight="1">
      <c r="A32" s="5" t="n">
        <v>44696</v>
      </c>
      <c r="B32" s="6" t="inlineStr">
        <is>
          <t>NEFT-EMI COLLECTIONS-SME LOANS MAY</t>
        </is>
      </c>
      <c r="C32" s="6" t="inlineStr">
        <is>
          <t>NEFT</t>
        </is>
      </c>
      <c r="D32" s="7" t="inlineStr"/>
      <c r="E32" s="11" t="n">
        <v>400000000</v>
      </c>
      <c r="F32" s="8" t="n">
        <v>2776000000</v>
      </c>
      <c r="G32" s="6" t="inlineStr">
        <is>
          <t>SME loan collections</t>
        </is>
      </c>
    </row>
    <row r="33" ht="16" customHeight="1">
      <c r="A33" s="9" t="n">
        <v>44699</v>
      </c>
      <c r="B33" s="10" t="inlineStr">
        <is>
          <t>VENDOR PAYMENT-IT SYSTEMS-INFOSYS</t>
        </is>
      </c>
      <c r="C33" s="10" t="inlineStr">
        <is>
          <t>NEFT</t>
        </is>
      </c>
      <c r="D33" s="13" t="n">
        <v>95000000</v>
      </c>
      <c r="E33" s="7" t="inlineStr"/>
      <c r="F33" s="12" t="n">
        <v>2681000000</v>
      </c>
      <c r="G33" s="10" t="inlineStr">
        <is>
          <t>IT vendor Infosys</t>
        </is>
      </c>
    </row>
    <row r="34" ht="16" customHeight="1">
      <c r="A34" s="5" t="n">
        <v>44701</v>
      </c>
      <c r="B34" s="6" t="inlineStr">
        <is>
          <t>RTGS-EMI COLLECTIONS-TWO WHEELER MAY</t>
        </is>
      </c>
      <c r="C34" s="6" t="inlineStr">
        <is>
          <t>RTGS</t>
        </is>
      </c>
      <c r="D34" s="7" t="inlineStr"/>
      <c r="E34" s="11" t="n">
        <v>420000000</v>
      </c>
      <c r="F34" s="8" t="n">
        <v>3101000000</v>
      </c>
      <c r="G34" s="6" t="inlineStr">
        <is>
          <t>Two wheeler collections</t>
        </is>
      </c>
    </row>
    <row r="35" ht="16" customHeight="1">
      <c r="A35" s="9" t="n">
        <v>44706</v>
      </c>
      <c r="B35" s="10" t="inlineStr">
        <is>
          <t>NEFT-EMI COLLECTIONS-RURAL FINANCE MAY</t>
        </is>
      </c>
      <c r="C35" s="10" t="inlineStr">
        <is>
          <t>NEFT</t>
        </is>
      </c>
      <c r="D35" s="7" t="inlineStr"/>
      <c r="E35" s="11" t="n">
        <v>310000000</v>
      </c>
      <c r="F35" s="12" t="n">
        <v>3411000000</v>
      </c>
      <c r="G35" s="10" t="inlineStr">
        <is>
          <t>Rural finance collections</t>
        </is>
      </c>
    </row>
    <row r="36" ht="16" customHeight="1">
      <c r="A36" s="5" t="n">
        <v>44709</v>
      </c>
      <c r="B36" s="6" t="inlineStr">
        <is>
          <t>RENT+UTILITIES ALL OFFICES MAY 2022</t>
        </is>
      </c>
      <c r="C36" s="6" t="inlineStr">
        <is>
          <t>NEFT</t>
        </is>
      </c>
      <c r="D36" s="13" t="n">
        <v>22000000</v>
      </c>
      <c r="E36" s="7" t="inlineStr"/>
      <c r="F36" s="8" t="n">
        <v>3389000000</v>
      </c>
      <c r="G36" s="6" t="inlineStr">
        <is>
          <t>Rent and utilities</t>
        </is>
      </c>
    </row>
    <row r="37" ht="16" customHeight="1">
      <c r="A37" s="9" t="n">
        <v>44712</v>
      </c>
      <c r="B37" s="10" t="inlineStr">
        <is>
          <t>INTEREST PAYMENT-NCD DEBENTURE HOLDERS</t>
        </is>
      </c>
      <c r="C37" s="10" t="inlineStr">
        <is>
          <t>NEFT</t>
        </is>
      </c>
      <c r="D37" s="13" t="n">
        <v>320000000</v>
      </c>
      <c r="E37" s="7" t="inlineStr"/>
      <c r="F37" s="12" t="n">
        <v>3069000000</v>
      </c>
      <c r="G37" s="10" t="inlineStr">
        <is>
          <t>NCD interest payment</t>
        </is>
      </c>
    </row>
    <row r="38" ht="16" customHeight="1">
      <c r="A38" s="5" t="n">
        <v>44714</v>
      </c>
      <c r="B38" s="6" t="inlineStr">
        <is>
          <t>NEFT-EMI COLLECTIONS-CONSUMER DURABLES JUN</t>
        </is>
      </c>
      <c r="C38" s="6" t="inlineStr">
        <is>
          <t>NEFT</t>
        </is>
      </c>
      <c r="D38" s="7" t="inlineStr"/>
      <c r="E38" s="11" t="n">
        <v>860000000</v>
      </c>
      <c r="F38" s="8" t="n">
        <v>3929000000</v>
      </c>
      <c r="G38" s="6" t="inlineStr">
        <is>
          <t>Consumer loan collections</t>
        </is>
      </c>
    </row>
    <row r="39" ht="16" customHeight="1">
      <c r="A39" s="9" t="n">
        <v>44717</v>
      </c>
      <c r="B39" s="10" t="inlineStr">
        <is>
          <t>GST PAYMENT-MAY 2022</t>
        </is>
      </c>
      <c r="C39" s="10" t="inlineStr">
        <is>
          <t>NEFT</t>
        </is>
      </c>
      <c r="D39" s="13" t="n">
        <v>43000000</v>
      </c>
      <c r="E39" s="7" t="inlineStr"/>
      <c r="F39" s="12" t="n">
        <v>3886000000</v>
      </c>
      <c r="G39" s="10" t="inlineStr">
        <is>
          <t>GST May-22 payment</t>
        </is>
      </c>
    </row>
    <row r="40" ht="16" customHeight="1">
      <c r="A40" s="5" t="n">
        <v>44720</v>
      </c>
      <c r="B40" s="6" t="inlineStr">
        <is>
          <t>RTGS-EMI COLLECTIONS-HOME LOANS JUN</t>
        </is>
      </c>
      <c r="C40" s="6" t="inlineStr">
        <is>
          <t>RTGS</t>
        </is>
      </c>
      <c r="D40" s="7" t="inlineStr"/>
      <c r="E40" s="11" t="n">
        <v>650000000</v>
      </c>
      <c r="F40" s="8" t="n">
        <v>4536000000</v>
      </c>
      <c r="G40" s="6" t="inlineStr">
        <is>
          <t>Home loan collections</t>
        </is>
      </c>
    </row>
    <row r="41" ht="16" customHeight="1">
      <c r="A41" s="9" t="n">
        <v>44722</v>
      </c>
      <c r="B41" s="10" t="inlineStr">
        <is>
          <t>SALARY TRANSFER-JUN 2022</t>
        </is>
      </c>
      <c r="C41" s="10" t="inlineStr">
        <is>
          <t>NEFT</t>
        </is>
      </c>
      <c r="D41" s="13" t="n">
        <v>490000000</v>
      </c>
      <c r="E41" s="7" t="inlineStr"/>
      <c r="F41" s="12" t="n">
        <v>4046000000</v>
      </c>
      <c r="G41" s="10" t="inlineStr">
        <is>
          <t>Monthly salary</t>
        </is>
      </c>
    </row>
    <row r="42" ht="16" customHeight="1">
      <c r="A42" s="5" t="n">
        <v>44724</v>
      </c>
      <c r="B42" s="6" t="inlineStr">
        <is>
          <t>LOAN DISBURSEMENT-SME LOAN BATCH JUN</t>
        </is>
      </c>
      <c r="C42" s="6" t="inlineStr">
        <is>
          <t>NEFT</t>
        </is>
      </c>
      <c r="D42" s="13" t="n">
        <v>980000000</v>
      </c>
      <c r="E42" s="7" t="inlineStr"/>
      <c r="F42" s="8" t="n">
        <v>3066000000</v>
      </c>
      <c r="G42" s="6" t="inlineStr">
        <is>
          <t>SME loan disbursements</t>
        </is>
      </c>
    </row>
    <row r="43" ht="16" customHeight="1">
      <c r="A43" s="9" t="n">
        <v>44727</v>
      </c>
      <c r="B43" s="10" t="inlineStr">
        <is>
          <t>NEFT-EMI COLLECTIONS-TWO WHEELER JUN</t>
        </is>
      </c>
      <c r="C43" s="10" t="inlineStr">
        <is>
          <t>NEFT</t>
        </is>
      </c>
      <c r="D43" s="7" t="inlineStr"/>
      <c r="E43" s="11" t="n">
        <v>430000000</v>
      </c>
      <c r="F43" s="12" t="n">
        <v>3496000000</v>
      </c>
      <c r="G43" s="10" t="inlineStr">
        <is>
          <t>Two wheeler collections</t>
        </is>
      </c>
    </row>
    <row r="44" ht="16" customHeight="1">
      <c r="A44" s="5" t="n">
        <v>44732</v>
      </c>
      <c r="B44" s="6" t="inlineStr">
        <is>
          <t>RTGS-EMI COLLECTIONS-CORPORATE JUN</t>
        </is>
      </c>
      <c r="C44" s="6" t="inlineStr">
        <is>
          <t>RTGS</t>
        </is>
      </c>
      <c r="D44" s="7" t="inlineStr"/>
      <c r="E44" s="11" t="n">
        <v>740000000</v>
      </c>
      <c r="F44" s="8" t="n">
        <v>4236000000</v>
      </c>
      <c r="G44" s="6" t="inlineStr">
        <is>
          <t>Corporate loan collections</t>
        </is>
      </c>
    </row>
    <row r="45" ht="16" customHeight="1">
      <c r="A45" s="9" t="n">
        <v>44737</v>
      </c>
      <c r="B45" s="10" t="inlineStr">
        <is>
          <t>VENDOR PAYMENT-CREDIT BUREAU CIBIL</t>
        </is>
      </c>
      <c r="C45" s="10" t="inlineStr">
        <is>
          <t>NEFT</t>
        </is>
      </c>
      <c r="D45" s="13" t="n">
        <v>12000000</v>
      </c>
      <c r="E45" s="7" t="inlineStr"/>
      <c r="F45" s="12" t="n">
        <v>4224000000</v>
      </c>
      <c r="G45" s="10" t="inlineStr">
        <is>
          <t>CIBIL data charges</t>
        </is>
      </c>
    </row>
    <row r="46" ht="16" customHeight="1">
      <c r="A46" s="5" t="n">
        <v>44740</v>
      </c>
      <c r="B46" s="6" t="inlineStr">
        <is>
          <t>NEFT-EMI COLLECTIONS-DIGITAL LOANS JUN</t>
        </is>
      </c>
      <c r="C46" s="6" t="inlineStr">
        <is>
          <t>NEFT</t>
        </is>
      </c>
      <c r="D46" s="7" t="inlineStr"/>
      <c r="E46" s="11" t="n">
        <v>200000000</v>
      </c>
      <c r="F46" s="8" t="n">
        <v>4424000000</v>
      </c>
      <c r="G46" s="6" t="inlineStr">
        <is>
          <t>Digital loan collections</t>
        </is>
      </c>
    </row>
    <row r="47" ht="16" customHeight="1">
      <c r="A47" s="9" t="n">
        <v>44742</v>
      </c>
      <c r="B47" s="10" t="inlineStr">
        <is>
          <t>INTEREST PAYMENT-NCD DEBENTURE HOLDERS</t>
        </is>
      </c>
      <c r="C47" s="10" t="inlineStr">
        <is>
          <t>NEFT</t>
        </is>
      </c>
      <c r="D47" s="13" t="n">
        <v>320000000</v>
      </c>
      <c r="E47" s="7" t="inlineStr"/>
      <c r="F47" s="12" t="n">
        <v>4104000000</v>
      </c>
      <c r="G47" s="10" t="inlineStr">
        <is>
          <t>NCD interest payment</t>
        </is>
      </c>
    </row>
    <row r="48" ht="16" customHeight="1">
      <c r="A48" s="5" t="n">
        <v>44746</v>
      </c>
      <c r="B48" s="6" t="inlineStr">
        <is>
          <t>NEFT-EMI COLLECTIONS-CONSUMER DURABLES JUL</t>
        </is>
      </c>
      <c r="C48" s="6" t="inlineStr">
        <is>
          <t>NEFT</t>
        </is>
      </c>
      <c r="D48" s="7" t="inlineStr"/>
      <c r="E48" s="11" t="n">
        <v>900000000</v>
      </c>
      <c r="F48" s="8" t="n">
        <v>5004000000</v>
      </c>
      <c r="G48" s="6" t="inlineStr">
        <is>
          <t>Consumer loan collections</t>
        </is>
      </c>
    </row>
    <row r="49" ht="16" customHeight="1">
      <c r="A49" s="9" t="n">
        <v>44747</v>
      </c>
      <c r="B49" s="10" t="inlineStr">
        <is>
          <t>GST PAYMENT-JUN 2022</t>
        </is>
      </c>
      <c r="C49" s="10" t="inlineStr">
        <is>
          <t>NEFT</t>
        </is>
      </c>
      <c r="D49" s="13" t="n">
        <v>45000000</v>
      </c>
      <c r="E49" s="7" t="inlineStr"/>
      <c r="F49" s="12" t="n">
        <v>4959000000</v>
      </c>
      <c r="G49" s="10" t="inlineStr">
        <is>
          <t>GST Jun-22 payment</t>
        </is>
      </c>
    </row>
    <row r="50" ht="16" customHeight="1">
      <c r="A50" s="5" t="n">
        <v>44750</v>
      </c>
      <c r="B50" s="6" t="inlineStr">
        <is>
          <t>RTGS-EMI COLLECTIONS-HOME LOANS JUL</t>
        </is>
      </c>
      <c r="C50" s="6" t="inlineStr">
        <is>
          <t>RTGS</t>
        </is>
      </c>
      <c r="D50" s="7" t="inlineStr"/>
      <c r="E50" s="11" t="n">
        <v>670000000</v>
      </c>
      <c r="F50" s="8" t="n">
        <v>5629000000</v>
      </c>
      <c r="G50" s="6" t="inlineStr">
        <is>
          <t>Home loan collections</t>
        </is>
      </c>
    </row>
    <row r="51" ht="16" customHeight="1">
      <c r="A51" s="9" t="n">
        <v>44752</v>
      </c>
      <c r="B51" s="10" t="inlineStr">
        <is>
          <t>SALARY TRANSFER-JUL 2022</t>
        </is>
      </c>
      <c r="C51" s="10" t="inlineStr">
        <is>
          <t>NEFT</t>
        </is>
      </c>
      <c r="D51" s="13" t="n">
        <v>495000000</v>
      </c>
      <c r="E51" s="7" t="inlineStr"/>
      <c r="F51" s="12" t="n">
        <v>5134000000</v>
      </c>
      <c r="G51" s="10" t="inlineStr">
        <is>
          <t>Monthly salary</t>
        </is>
      </c>
    </row>
    <row r="52" ht="16" customHeight="1">
      <c r="A52" s="5" t="n">
        <v>44754</v>
      </c>
      <c r="B52" s="6" t="inlineStr">
        <is>
          <t>LOAN DISBURSEMENT-PERSONAL LOAN BATCH JUL</t>
        </is>
      </c>
      <c r="C52" s="6" t="inlineStr">
        <is>
          <t>NEFT</t>
        </is>
      </c>
      <c r="D52" s="13" t="n">
        <v>1300000000</v>
      </c>
      <c r="E52" s="7" t="inlineStr"/>
      <c r="F52" s="8" t="n">
        <v>3834000000</v>
      </c>
      <c r="G52" s="6" t="inlineStr">
        <is>
          <t>Personal loan disbursements</t>
        </is>
      </c>
    </row>
    <row r="53" ht="16" customHeight="1">
      <c r="A53" s="9" t="n">
        <v>44757</v>
      </c>
      <c r="B53" s="10" t="inlineStr">
        <is>
          <t>NEFT-EMI COLLECTIONS-SME LOANS JUL</t>
        </is>
      </c>
      <c r="C53" s="10" t="inlineStr">
        <is>
          <t>NEFT</t>
        </is>
      </c>
      <c r="D53" s="7" t="inlineStr"/>
      <c r="E53" s="11" t="n">
        <v>420000000</v>
      </c>
      <c r="F53" s="12" t="n">
        <v>4254000000</v>
      </c>
      <c r="G53" s="10" t="inlineStr">
        <is>
          <t>SME loan collections</t>
        </is>
      </c>
    </row>
    <row r="54" ht="16" customHeight="1">
      <c r="A54" s="5" t="n">
        <v>44762</v>
      </c>
      <c r="B54" s="6" t="inlineStr">
        <is>
          <t>RTGS-EMI COLLECTIONS-RURAL FINANCE JUL</t>
        </is>
      </c>
      <c r="C54" s="6" t="inlineStr">
        <is>
          <t>RTGS</t>
        </is>
      </c>
      <c r="D54" s="7" t="inlineStr"/>
      <c r="E54" s="11" t="n">
        <v>330000000</v>
      </c>
      <c r="F54" s="8" t="n">
        <v>4584000000</v>
      </c>
      <c r="G54" s="6" t="inlineStr">
        <is>
          <t>Rural finance collections</t>
        </is>
      </c>
    </row>
    <row r="55" ht="16" customHeight="1">
      <c r="A55" s="9" t="n">
        <v>44767</v>
      </c>
      <c r="B55" s="10" t="inlineStr">
        <is>
          <t>RENT+UTILITIES ALL OFFICES JUL 2022</t>
        </is>
      </c>
      <c r="C55" s="10" t="inlineStr">
        <is>
          <t>NEFT</t>
        </is>
      </c>
      <c r="D55" s="13" t="n">
        <v>22000000</v>
      </c>
      <c r="E55" s="7" t="inlineStr"/>
      <c r="F55" s="12" t="n">
        <v>4562000000</v>
      </c>
      <c r="G55" s="10" t="inlineStr">
        <is>
          <t>Rent and utilities</t>
        </is>
      </c>
    </row>
    <row r="56" ht="16" customHeight="1">
      <c r="A56" s="5" t="n">
        <v>44770</v>
      </c>
      <c r="B56" s="6" t="inlineStr">
        <is>
          <t>NEFT-EMI COLLECTIONS-TWO WHEELER JUL</t>
        </is>
      </c>
      <c r="C56" s="6" t="inlineStr">
        <is>
          <t>NEFT</t>
        </is>
      </c>
      <c r="D56" s="7" t="inlineStr"/>
      <c r="E56" s="11" t="n">
        <v>440000000</v>
      </c>
      <c r="F56" s="8" t="n">
        <v>5002000000</v>
      </c>
      <c r="G56" s="6" t="inlineStr">
        <is>
          <t>Two wheeler collections</t>
        </is>
      </c>
    </row>
    <row r="57" ht="16" customHeight="1">
      <c r="A57" s="9" t="n">
        <v>44773</v>
      </c>
      <c r="B57" s="10" t="inlineStr">
        <is>
          <t>INTEREST PAYMENT-NCD DEBENTURE HOLDERS</t>
        </is>
      </c>
      <c r="C57" s="10" t="inlineStr">
        <is>
          <t>NEFT</t>
        </is>
      </c>
      <c r="D57" s="13" t="n">
        <v>320000000</v>
      </c>
      <c r="E57" s="7" t="inlineStr"/>
      <c r="F57" s="12" t="n">
        <v>4682000000</v>
      </c>
      <c r="G57" s="10" t="inlineStr">
        <is>
          <t>NCD interest payment</t>
        </is>
      </c>
    </row>
    <row r="58" ht="16" customHeight="1">
      <c r="A58" s="5" t="n">
        <v>44776</v>
      </c>
      <c r="B58" s="6" t="inlineStr">
        <is>
          <t>NEFT-EMI COLLECTIONS-CONSUMER DURABLES AUG</t>
        </is>
      </c>
      <c r="C58" s="6" t="inlineStr">
        <is>
          <t>NEFT</t>
        </is>
      </c>
      <c r="D58" s="7" t="inlineStr"/>
      <c r="E58" s="11" t="n">
        <v>890000000</v>
      </c>
      <c r="F58" s="8" t="n">
        <v>5572000000</v>
      </c>
      <c r="G58" s="6" t="inlineStr">
        <is>
          <t>Consumer loan collections</t>
        </is>
      </c>
    </row>
    <row r="59" ht="16" customHeight="1">
      <c r="A59" s="9" t="n">
        <v>44778</v>
      </c>
      <c r="B59" s="10" t="inlineStr">
        <is>
          <t>GST PAYMENT-JUL 2022</t>
        </is>
      </c>
      <c r="C59" s="10" t="inlineStr">
        <is>
          <t>NEFT</t>
        </is>
      </c>
      <c r="D59" s="13" t="n">
        <v>44500000</v>
      </c>
      <c r="E59" s="7" t="inlineStr"/>
      <c r="F59" s="12" t="n">
        <v>5527500000</v>
      </c>
      <c r="G59" s="10" t="inlineStr">
        <is>
          <t>GST Jul-22 payment</t>
        </is>
      </c>
    </row>
    <row r="60" ht="16" customHeight="1">
      <c r="A60" s="5" t="n">
        <v>44781</v>
      </c>
      <c r="B60" s="6" t="inlineStr">
        <is>
          <t>RTGS-EMI COLLECTIONS-HOME LOANS AUG</t>
        </is>
      </c>
      <c r="C60" s="6" t="inlineStr">
        <is>
          <t>RTGS</t>
        </is>
      </c>
      <c r="D60" s="7" t="inlineStr"/>
      <c r="E60" s="11" t="n">
        <v>660000000</v>
      </c>
      <c r="F60" s="8" t="n">
        <v>6187500000</v>
      </c>
      <c r="G60" s="6" t="inlineStr">
        <is>
          <t>Home loan collections</t>
        </is>
      </c>
    </row>
    <row r="61" ht="16" customHeight="1">
      <c r="A61" s="9" t="n">
        <v>44783</v>
      </c>
      <c r="B61" s="10" t="inlineStr">
        <is>
          <t>SALARY TRANSFER-AUG 2022</t>
        </is>
      </c>
      <c r="C61" s="10" t="inlineStr">
        <is>
          <t>NEFT</t>
        </is>
      </c>
      <c r="D61" s="13" t="n">
        <v>500000000</v>
      </c>
      <c r="E61" s="7" t="inlineStr"/>
      <c r="F61" s="12" t="n">
        <v>5687500000</v>
      </c>
      <c r="G61" s="10" t="inlineStr">
        <is>
          <t>Monthly salary</t>
        </is>
      </c>
    </row>
    <row r="62" ht="16" customHeight="1">
      <c r="A62" s="5" t="n">
        <v>44785</v>
      </c>
      <c r="B62" s="6" t="inlineStr">
        <is>
          <t>LOAN DISBURSEMENT-TWO WHEELER BATCH AUG</t>
        </is>
      </c>
      <c r="C62" s="6" t="inlineStr">
        <is>
          <t>NEFT</t>
        </is>
      </c>
      <c r="D62" s="13" t="n">
        <v>720000000</v>
      </c>
      <c r="E62" s="7" t="inlineStr"/>
      <c r="F62" s="8" t="n">
        <v>4967500000</v>
      </c>
      <c r="G62" s="6" t="inlineStr">
        <is>
          <t>Two wheeler disbursements</t>
        </is>
      </c>
    </row>
    <row r="63" ht="16" customHeight="1">
      <c r="A63" s="9" t="n">
        <v>44788</v>
      </c>
      <c r="B63" s="10" t="inlineStr">
        <is>
          <t>NEFT-EMI COLLECTIONS-CORPORATE AUG</t>
        </is>
      </c>
      <c r="C63" s="10" t="inlineStr">
        <is>
          <t>NEFT</t>
        </is>
      </c>
      <c r="D63" s="7" t="inlineStr"/>
      <c r="E63" s="11" t="n">
        <v>760000000</v>
      </c>
      <c r="F63" s="12" t="n">
        <v>5727500000</v>
      </c>
      <c r="G63" s="10" t="inlineStr">
        <is>
          <t>Corporate loan collections</t>
        </is>
      </c>
    </row>
    <row r="64" ht="16" customHeight="1">
      <c r="A64" s="5" t="n">
        <v>44793</v>
      </c>
      <c r="B64" s="6" t="inlineStr">
        <is>
          <t>RTGS-EMI COLLECTIONS-SME LOANS AUG</t>
        </is>
      </c>
      <c r="C64" s="6" t="inlineStr">
        <is>
          <t>RTGS</t>
        </is>
      </c>
      <c r="D64" s="7" t="inlineStr"/>
      <c r="E64" s="11" t="n">
        <v>410000000</v>
      </c>
      <c r="F64" s="8" t="n">
        <v>6137500000</v>
      </c>
      <c r="G64" s="6" t="inlineStr">
        <is>
          <t>SME loan collections</t>
        </is>
      </c>
    </row>
    <row r="65" ht="16" customHeight="1">
      <c r="A65" s="9" t="n">
        <v>44798</v>
      </c>
      <c r="B65" s="10" t="inlineStr">
        <is>
          <t>VENDOR PAYMENT-COLLECTIONS AGENCY FEES</t>
        </is>
      </c>
      <c r="C65" s="10" t="inlineStr">
        <is>
          <t>NEFT</t>
        </is>
      </c>
      <c r="D65" s="13" t="n">
        <v>28000000</v>
      </c>
      <c r="E65" s="7" t="inlineStr"/>
      <c r="F65" s="12" t="n">
        <v>6109500000</v>
      </c>
      <c r="G65" s="10" t="inlineStr">
        <is>
          <t>Collections agency</t>
        </is>
      </c>
    </row>
    <row r="66" ht="16" customHeight="1">
      <c r="A66" s="5" t="n">
        <v>44801</v>
      </c>
      <c r="B66" s="6" t="inlineStr">
        <is>
          <t>NEFT-EMI COLLECTIONS-RURAL FINANCE AUG</t>
        </is>
      </c>
      <c r="C66" s="6" t="inlineStr">
        <is>
          <t>NEFT</t>
        </is>
      </c>
      <c r="D66" s="7" t="inlineStr"/>
      <c r="E66" s="11" t="n">
        <v>320000000</v>
      </c>
      <c r="F66" s="8" t="n">
        <v>6429500000</v>
      </c>
      <c r="G66" s="6" t="inlineStr">
        <is>
          <t>Rural finance collections</t>
        </is>
      </c>
    </row>
    <row r="67" ht="16" customHeight="1">
      <c r="A67" s="9" t="n">
        <v>44804</v>
      </c>
      <c r="B67" s="10" t="inlineStr">
        <is>
          <t>INTEREST PAYMENT-NCD DEBENTURE HOLDERS</t>
        </is>
      </c>
      <c r="C67" s="10" t="inlineStr">
        <is>
          <t>NEFT</t>
        </is>
      </c>
      <c r="D67" s="13" t="n">
        <v>320000000</v>
      </c>
      <c r="E67" s="7" t="inlineStr"/>
      <c r="F67" s="12" t="n">
        <v>6109500000</v>
      </c>
      <c r="G67" s="10" t="inlineStr">
        <is>
          <t>NCD interest payment</t>
        </is>
      </c>
    </row>
    <row r="68" ht="16" customHeight="1">
      <c r="A68" s="5" t="n">
        <v>44807</v>
      </c>
      <c r="B68" s="6" t="inlineStr">
        <is>
          <t>NEFT-EMI COLLECTIONS-CONSUMER DURABLES SEP</t>
        </is>
      </c>
      <c r="C68" s="6" t="inlineStr">
        <is>
          <t>NEFT</t>
        </is>
      </c>
      <c r="D68" s="7" t="inlineStr"/>
      <c r="E68" s="11" t="n">
        <v>870000000</v>
      </c>
      <c r="F68" s="8" t="n">
        <v>6979500000</v>
      </c>
      <c r="G68" s="6" t="inlineStr">
        <is>
          <t>Consumer loan collections</t>
        </is>
      </c>
    </row>
    <row r="69" ht="16" customHeight="1">
      <c r="A69" s="9" t="n">
        <v>44809</v>
      </c>
      <c r="B69" s="10" t="inlineStr">
        <is>
          <t>GST PAYMENT-AUG 2022</t>
        </is>
      </c>
      <c r="C69" s="10" t="inlineStr">
        <is>
          <t>NEFT</t>
        </is>
      </c>
      <c r="D69" s="13" t="n">
        <v>44000000</v>
      </c>
      <c r="E69" s="7" t="inlineStr"/>
      <c r="F69" s="12" t="n">
        <v>6935500000</v>
      </c>
      <c r="G69" s="10" t="inlineStr">
        <is>
          <t>GST Aug-22 payment</t>
        </is>
      </c>
    </row>
    <row r="70" ht="16" customHeight="1">
      <c r="A70" s="5" t="n">
        <v>44812</v>
      </c>
      <c r="B70" s="6" t="inlineStr">
        <is>
          <t>RTGS-EMI COLLECTIONS-HOME LOANS SEP</t>
        </is>
      </c>
      <c r="C70" s="6" t="inlineStr">
        <is>
          <t>RTGS</t>
        </is>
      </c>
      <c r="D70" s="7" t="inlineStr"/>
      <c r="E70" s="11" t="n">
        <v>680000000</v>
      </c>
      <c r="F70" s="8" t="n">
        <v>7615500000</v>
      </c>
      <c r="G70" s="6" t="inlineStr">
        <is>
          <t>Home loan collections</t>
        </is>
      </c>
    </row>
    <row r="71" ht="16" customHeight="1">
      <c r="A71" s="9" t="n">
        <v>44814</v>
      </c>
      <c r="B71" s="10" t="inlineStr">
        <is>
          <t>SALARY TRANSFER-SEP 2022</t>
        </is>
      </c>
      <c r="C71" s="10" t="inlineStr">
        <is>
          <t>NEFT</t>
        </is>
      </c>
      <c r="D71" s="13" t="n">
        <v>505000000</v>
      </c>
      <c r="E71" s="7" t="inlineStr"/>
      <c r="F71" s="12" t="n">
        <v>7110500000</v>
      </c>
      <c r="G71" s="10" t="inlineStr">
        <is>
          <t>Monthly salary</t>
        </is>
      </c>
    </row>
    <row r="72" ht="16" customHeight="1">
      <c r="A72" s="5" t="n">
        <v>44816</v>
      </c>
      <c r="B72" s="6" t="inlineStr">
        <is>
          <t>LOAN DISBURSEMENT-PERSONAL LOAN BATCH SEP</t>
        </is>
      </c>
      <c r="C72" s="6" t="inlineStr">
        <is>
          <t>NEFT</t>
        </is>
      </c>
      <c r="D72" s="13" t="n">
        <v>1280000000</v>
      </c>
      <c r="E72" s="7" t="inlineStr"/>
      <c r="F72" s="8" t="n">
        <v>5830500000</v>
      </c>
      <c r="G72" s="6" t="inlineStr">
        <is>
          <t>Personal loan disbursements</t>
        </is>
      </c>
    </row>
    <row r="73" ht="16" customHeight="1">
      <c r="A73" s="9" t="n">
        <v>44819</v>
      </c>
      <c r="B73" s="10" t="inlineStr">
        <is>
          <t>NEFT-EMI COLLECTIONS-TWO WHEELER SEP</t>
        </is>
      </c>
      <c r="C73" s="10" t="inlineStr">
        <is>
          <t>NEFT</t>
        </is>
      </c>
      <c r="D73" s="7" t="inlineStr"/>
      <c r="E73" s="11" t="n">
        <v>450000000</v>
      </c>
      <c r="F73" s="12" t="n">
        <v>6280500000</v>
      </c>
      <c r="G73" s="10" t="inlineStr">
        <is>
          <t>Two wheeler collections</t>
        </is>
      </c>
    </row>
    <row r="74" ht="16" customHeight="1">
      <c r="A74" s="5" t="n">
        <v>44824</v>
      </c>
      <c r="B74" s="6" t="inlineStr">
        <is>
          <t>RTGS-EMI COLLECTIONS-DIGITAL LOANS SEP</t>
        </is>
      </c>
      <c r="C74" s="6" t="inlineStr">
        <is>
          <t>RTGS</t>
        </is>
      </c>
      <c r="D74" s="7" t="inlineStr"/>
      <c r="E74" s="11" t="n">
        <v>210000000</v>
      </c>
      <c r="F74" s="8" t="n">
        <v>6490500000</v>
      </c>
      <c r="G74" s="6" t="inlineStr">
        <is>
          <t>Digital loan collections</t>
        </is>
      </c>
    </row>
    <row r="75" ht="16" customHeight="1">
      <c r="A75" s="9" t="n">
        <v>44829</v>
      </c>
      <c r="B75" s="10" t="inlineStr">
        <is>
          <t>ADVANCE TAX PAYMENT-Q2 FY23</t>
        </is>
      </c>
      <c r="C75" s="10" t="inlineStr">
        <is>
          <t>NEFT</t>
        </is>
      </c>
      <c r="D75" s="13" t="n">
        <v>420000000</v>
      </c>
      <c r="E75" s="7" t="inlineStr"/>
      <c r="F75" s="12" t="n">
        <v>6070500000</v>
      </c>
      <c r="G75" s="10" t="inlineStr">
        <is>
          <t>Advance tax Q2 FY23</t>
        </is>
      </c>
    </row>
    <row r="76" ht="16" customHeight="1">
      <c r="A76" s="5" t="n">
        <v>44832</v>
      </c>
      <c r="B76" s="6" t="inlineStr">
        <is>
          <t>NEFT-EMI COLLECTIONS-SME LOANS SEP</t>
        </is>
      </c>
      <c r="C76" s="6" t="inlineStr">
        <is>
          <t>NEFT</t>
        </is>
      </c>
      <c r="D76" s="7" t="inlineStr"/>
      <c r="E76" s="11" t="n">
        <v>430000000</v>
      </c>
      <c r="F76" s="8" t="n">
        <v>6500500000</v>
      </c>
      <c r="G76" s="6" t="inlineStr">
        <is>
          <t>SME loan collections</t>
        </is>
      </c>
    </row>
    <row r="77" ht="16" customHeight="1">
      <c r="A77" s="9" t="n">
        <v>44834</v>
      </c>
      <c r="B77" s="10" t="inlineStr">
        <is>
          <t>INTEREST PAYMENT-NCD DEBENTURE HOLDERS</t>
        </is>
      </c>
      <c r="C77" s="10" t="inlineStr">
        <is>
          <t>NEFT</t>
        </is>
      </c>
      <c r="D77" s="13" t="n">
        <v>320000000</v>
      </c>
      <c r="E77" s="7" t="inlineStr"/>
      <c r="F77" s="12" t="n">
        <v>6180500000</v>
      </c>
      <c r="G77" s="10" t="inlineStr">
        <is>
          <t>NCD interest payment</t>
        </is>
      </c>
    </row>
    <row r="78" ht="16" customHeight="1">
      <c r="A78" s="5" t="n">
        <v>44838</v>
      </c>
      <c r="B78" s="6" t="inlineStr">
        <is>
          <t>NEFT-EMI COLLECTIONS-CONSUMER DURABLES OCT</t>
        </is>
      </c>
      <c r="C78" s="6" t="inlineStr">
        <is>
          <t>NEFT</t>
        </is>
      </c>
      <c r="D78" s="7" t="inlineStr"/>
      <c r="E78" s="11" t="n">
        <v>920000000</v>
      </c>
      <c r="F78" s="8" t="n">
        <v>7100500000</v>
      </c>
      <c r="G78" s="6" t="inlineStr">
        <is>
          <t>Consumer loan collections</t>
        </is>
      </c>
    </row>
    <row r="79" ht="16" customHeight="1">
      <c r="A79" s="9" t="n">
        <v>44839</v>
      </c>
      <c r="B79" s="10" t="inlineStr">
        <is>
          <t>GST PAYMENT-SEP 2022</t>
        </is>
      </c>
      <c r="C79" s="10" t="inlineStr">
        <is>
          <t>NEFT</t>
        </is>
      </c>
      <c r="D79" s="13" t="n">
        <v>45500000</v>
      </c>
      <c r="E79" s="7" t="inlineStr"/>
      <c r="F79" s="12" t="n">
        <v>7055000000</v>
      </c>
      <c r="G79" s="10" t="inlineStr">
        <is>
          <t>GST Sep-22 payment</t>
        </is>
      </c>
    </row>
    <row r="80" ht="16" customHeight="1">
      <c r="A80" s="5" t="n">
        <v>44842</v>
      </c>
      <c r="B80" s="6" t="inlineStr">
        <is>
          <t>RTGS-EMI COLLECTIONS-HOME LOANS OCT</t>
        </is>
      </c>
      <c r="C80" s="6" t="inlineStr">
        <is>
          <t>RTGS</t>
        </is>
      </c>
      <c r="D80" s="7" t="inlineStr"/>
      <c r="E80" s="11" t="n">
        <v>690000000</v>
      </c>
      <c r="F80" s="8" t="n">
        <v>7745000000</v>
      </c>
      <c r="G80" s="6" t="inlineStr">
        <is>
          <t>Home loan collections</t>
        </is>
      </c>
    </row>
    <row r="81" ht="16" customHeight="1">
      <c r="A81" s="9" t="n">
        <v>44844</v>
      </c>
      <c r="B81" s="10" t="inlineStr">
        <is>
          <t>SALARY TRANSFER-OCT 2022</t>
        </is>
      </c>
      <c r="C81" s="10" t="inlineStr">
        <is>
          <t>NEFT</t>
        </is>
      </c>
      <c r="D81" s="13" t="n">
        <v>510000000</v>
      </c>
      <c r="E81" s="7" t="inlineStr"/>
      <c r="F81" s="12" t="n">
        <v>7235000000</v>
      </c>
      <c r="G81" s="10" t="inlineStr">
        <is>
          <t>Monthly salary</t>
        </is>
      </c>
    </row>
    <row r="82" ht="16" customHeight="1">
      <c r="A82" s="5" t="n">
        <v>44846</v>
      </c>
      <c r="B82" s="6" t="inlineStr">
        <is>
          <t>LOAN DISBURSEMENT-SME LOAN BATCH OCT</t>
        </is>
      </c>
      <c r="C82" s="6" t="inlineStr">
        <is>
          <t>NEFT</t>
        </is>
      </c>
      <c r="D82" s="13" t="n">
        <v>1020000000</v>
      </c>
      <c r="E82" s="7" t="inlineStr"/>
      <c r="F82" s="8" t="n">
        <v>6215000000</v>
      </c>
      <c r="G82" s="6" t="inlineStr">
        <is>
          <t>SME loan disbursements</t>
        </is>
      </c>
    </row>
    <row r="83" ht="16" customHeight="1">
      <c r="A83" s="9" t="n">
        <v>44849</v>
      </c>
      <c r="B83" s="10" t="inlineStr">
        <is>
          <t>NEFT-EMI COLLECTIONS-RURAL FINANCE OCT</t>
        </is>
      </c>
      <c r="C83" s="10" t="inlineStr">
        <is>
          <t>NEFT</t>
        </is>
      </c>
      <c r="D83" s="7" t="inlineStr"/>
      <c r="E83" s="11" t="n">
        <v>340000000</v>
      </c>
      <c r="F83" s="12" t="n">
        <v>6555000000</v>
      </c>
      <c r="G83" s="10" t="inlineStr">
        <is>
          <t>Rural finance collections</t>
        </is>
      </c>
    </row>
    <row r="84" ht="16" customHeight="1">
      <c r="A84" s="5" t="n">
        <v>44854</v>
      </c>
      <c r="B84" s="6" t="inlineStr">
        <is>
          <t>RTGS-EMI COLLECTIONS-TWO WHEELER OCT</t>
        </is>
      </c>
      <c r="C84" s="6" t="inlineStr">
        <is>
          <t>RTGS</t>
        </is>
      </c>
      <c r="D84" s="7" t="inlineStr"/>
      <c r="E84" s="11" t="n">
        <v>460000000</v>
      </c>
      <c r="F84" s="8" t="n">
        <v>7015000000</v>
      </c>
      <c r="G84" s="6" t="inlineStr">
        <is>
          <t>Two wheeler collections</t>
        </is>
      </c>
    </row>
    <row r="85" ht="16" customHeight="1">
      <c r="A85" s="9" t="n">
        <v>44859</v>
      </c>
      <c r="B85" s="10" t="inlineStr">
        <is>
          <t>RENT+UTILITIES ALL OFFICES OCT 2022</t>
        </is>
      </c>
      <c r="C85" s="10" t="inlineStr">
        <is>
          <t>NEFT</t>
        </is>
      </c>
      <c r="D85" s="13" t="n">
        <v>22000000</v>
      </c>
      <c r="E85" s="7" t="inlineStr"/>
      <c r="F85" s="12" t="n">
        <v>6993000000</v>
      </c>
      <c r="G85" s="10" t="inlineStr">
        <is>
          <t>Rent and utilities</t>
        </is>
      </c>
    </row>
    <row r="86" ht="16" customHeight="1">
      <c r="A86" s="5" t="n">
        <v>44862</v>
      </c>
      <c r="B86" s="6" t="inlineStr">
        <is>
          <t>NEFT-EMI COLLECTIONS-CORPORATE OCT</t>
        </is>
      </c>
      <c r="C86" s="6" t="inlineStr">
        <is>
          <t>NEFT</t>
        </is>
      </c>
      <c r="D86" s="7" t="inlineStr"/>
      <c r="E86" s="11" t="n">
        <v>780000000</v>
      </c>
      <c r="F86" s="8" t="n">
        <v>7773000000</v>
      </c>
      <c r="G86" s="6" t="inlineStr">
        <is>
          <t>Corporate loan collections</t>
        </is>
      </c>
    </row>
    <row r="87" ht="16" customHeight="1">
      <c r="A87" s="9" t="n">
        <v>44865</v>
      </c>
      <c r="B87" s="10" t="inlineStr">
        <is>
          <t>INTEREST PAYMENT-NCD DEBENTURE HOLDERS</t>
        </is>
      </c>
      <c r="C87" s="10" t="inlineStr">
        <is>
          <t>NEFT</t>
        </is>
      </c>
      <c r="D87" s="13" t="n">
        <v>320000000</v>
      </c>
      <c r="E87" s="7" t="inlineStr"/>
      <c r="F87" s="12" t="n">
        <v>7453000000</v>
      </c>
      <c r="G87" s="10" t="inlineStr">
        <is>
          <t>NCD interest payment</t>
        </is>
      </c>
    </row>
    <row r="88" ht="16" customHeight="1">
      <c r="A88" s="5" t="n">
        <v>44868</v>
      </c>
      <c r="B88" s="6" t="inlineStr">
        <is>
          <t>NEFT-EMI COLLECTIONS-CONSUMER DURABLES NOV</t>
        </is>
      </c>
      <c r="C88" s="6" t="inlineStr">
        <is>
          <t>NEFT</t>
        </is>
      </c>
      <c r="D88" s="7" t="inlineStr"/>
      <c r="E88" s="11" t="n">
        <v>940000000</v>
      </c>
      <c r="F88" s="8" t="n">
        <v>8393000000</v>
      </c>
      <c r="G88" s="6" t="inlineStr">
        <is>
          <t>Consumer loan collections</t>
        </is>
      </c>
    </row>
    <row r="89" ht="16" customHeight="1">
      <c r="A89" s="9" t="n">
        <v>44870</v>
      </c>
      <c r="B89" s="10" t="inlineStr">
        <is>
          <t>GST PAYMENT-OCT 2022</t>
        </is>
      </c>
      <c r="C89" s="10" t="inlineStr">
        <is>
          <t>NEFT</t>
        </is>
      </c>
      <c r="D89" s="13" t="n">
        <v>46000000</v>
      </c>
      <c r="E89" s="7" t="inlineStr"/>
      <c r="F89" s="12" t="n">
        <v>8347000000</v>
      </c>
      <c r="G89" s="10" t="inlineStr">
        <is>
          <t>GST Oct-22 payment</t>
        </is>
      </c>
    </row>
    <row r="90" ht="16" customHeight="1">
      <c r="A90" s="5" t="n">
        <v>44873</v>
      </c>
      <c r="B90" s="6" t="inlineStr">
        <is>
          <t>RTGS-EMI COLLECTIONS-HOME LOANS NOV</t>
        </is>
      </c>
      <c r="C90" s="6" t="inlineStr">
        <is>
          <t>RTGS</t>
        </is>
      </c>
      <c r="D90" s="7" t="inlineStr"/>
      <c r="E90" s="11" t="n">
        <v>700000000</v>
      </c>
      <c r="F90" s="8" t="n">
        <v>9047000000</v>
      </c>
      <c r="G90" s="6" t="inlineStr">
        <is>
          <t>Home loan collections</t>
        </is>
      </c>
    </row>
    <row r="91" ht="16" customHeight="1">
      <c r="A91" s="9" t="n">
        <v>44875</v>
      </c>
      <c r="B91" s="10" t="inlineStr">
        <is>
          <t>SALARY TRANSFER-NOV 2022</t>
        </is>
      </c>
      <c r="C91" s="10" t="inlineStr">
        <is>
          <t>NEFT</t>
        </is>
      </c>
      <c r="D91" s="13" t="n">
        <v>515000000</v>
      </c>
      <c r="E91" s="7" t="inlineStr"/>
      <c r="F91" s="12" t="n">
        <v>8532000000</v>
      </c>
      <c r="G91" s="10" t="inlineStr">
        <is>
          <t>Monthly salary</t>
        </is>
      </c>
    </row>
    <row r="92" ht="16" customHeight="1">
      <c r="A92" s="5" t="n">
        <v>44877</v>
      </c>
      <c r="B92" s="6" t="inlineStr">
        <is>
          <t>LOAN DISBURSEMENT-PERSONAL LOAN BATCH NOV</t>
        </is>
      </c>
      <c r="C92" s="6" t="inlineStr">
        <is>
          <t>NEFT</t>
        </is>
      </c>
      <c r="D92" s="13" t="n">
        <v>1350000000</v>
      </c>
      <c r="E92" s="7" t="inlineStr"/>
      <c r="F92" s="8" t="n">
        <v>7182000000</v>
      </c>
      <c r="G92" s="6" t="inlineStr">
        <is>
          <t>Personal loan disbursements</t>
        </is>
      </c>
    </row>
    <row r="93" ht="16" customHeight="1">
      <c r="A93" s="9" t="n">
        <v>44880</v>
      </c>
      <c r="B93" s="10" t="inlineStr">
        <is>
          <t>NEFT-EMI COLLECTIONS-SME LOANS NOV</t>
        </is>
      </c>
      <c r="C93" s="10" t="inlineStr">
        <is>
          <t>NEFT</t>
        </is>
      </c>
      <c r="D93" s="7" t="inlineStr"/>
      <c r="E93" s="11" t="n">
        <v>440000000</v>
      </c>
      <c r="F93" s="12" t="n">
        <v>7622000000</v>
      </c>
      <c r="G93" s="10" t="inlineStr">
        <is>
          <t>SME loan collections</t>
        </is>
      </c>
    </row>
    <row r="94" ht="16" customHeight="1">
      <c r="A94" s="5" t="n">
        <v>44885</v>
      </c>
      <c r="B94" s="6" t="inlineStr">
        <is>
          <t>RTGS-EMI COLLECTIONS-DIGITAL LOANS NOV</t>
        </is>
      </c>
      <c r="C94" s="6" t="inlineStr">
        <is>
          <t>RTGS</t>
        </is>
      </c>
      <c r="D94" s="7" t="inlineStr"/>
      <c r="E94" s="11" t="n">
        <v>220000000</v>
      </c>
      <c r="F94" s="8" t="n">
        <v>7842000000</v>
      </c>
      <c r="G94" s="6" t="inlineStr">
        <is>
          <t>Digital loan collections</t>
        </is>
      </c>
    </row>
    <row r="95" ht="16" customHeight="1">
      <c r="A95" s="9" t="n">
        <v>44890</v>
      </c>
      <c r="B95" s="10" t="inlineStr">
        <is>
          <t>VENDOR PAYMENT-LEGAL &amp; COMPLIANCE FEES</t>
        </is>
      </c>
      <c r="C95" s="10" t="inlineStr">
        <is>
          <t>NEFT</t>
        </is>
      </c>
      <c r="D95" s="13" t="n">
        <v>32000000</v>
      </c>
      <c r="E95" s="7" t="inlineStr"/>
      <c r="F95" s="12" t="n">
        <v>7810000000</v>
      </c>
      <c r="G95" s="10" t="inlineStr">
        <is>
          <t>Legal fees</t>
        </is>
      </c>
    </row>
    <row r="96" ht="16" customHeight="1">
      <c r="A96" s="5" t="n">
        <v>44893</v>
      </c>
      <c r="B96" s="6" t="inlineStr">
        <is>
          <t>NEFT-EMI COLLECTIONS-TWO WHEELER NOV</t>
        </is>
      </c>
      <c r="C96" s="6" t="inlineStr">
        <is>
          <t>NEFT</t>
        </is>
      </c>
      <c r="D96" s="7" t="inlineStr"/>
      <c r="E96" s="11" t="n">
        <v>470000000</v>
      </c>
      <c r="F96" s="8" t="n">
        <v>8280000000</v>
      </c>
      <c r="G96" s="6" t="inlineStr">
        <is>
          <t>Two wheeler collections</t>
        </is>
      </c>
    </row>
    <row r="97" ht="16" customHeight="1">
      <c r="A97" s="9" t="n">
        <v>44895</v>
      </c>
      <c r="B97" s="10" t="inlineStr">
        <is>
          <t>INTEREST PAYMENT-NCD DEBENTURE HOLDERS</t>
        </is>
      </c>
      <c r="C97" s="10" t="inlineStr">
        <is>
          <t>NEFT</t>
        </is>
      </c>
      <c r="D97" s="13" t="n">
        <v>320000000</v>
      </c>
      <c r="E97" s="7" t="inlineStr"/>
      <c r="F97" s="12" t="n">
        <v>7960000000</v>
      </c>
      <c r="G97" s="10" t="inlineStr">
        <is>
          <t>NCD interest payment</t>
        </is>
      </c>
    </row>
    <row r="98" ht="16" customHeight="1">
      <c r="A98" s="5" t="n">
        <v>44898</v>
      </c>
      <c r="B98" s="6" t="inlineStr">
        <is>
          <t>NEFT-EMI COLLECTIONS-CONSUMER DURABLES DEC</t>
        </is>
      </c>
      <c r="C98" s="6" t="inlineStr">
        <is>
          <t>NEFT</t>
        </is>
      </c>
      <c r="D98" s="7" t="inlineStr"/>
      <c r="E98" s="11" t="n">
        <v>980000000</v>
      </c>
      <c r="F98" s="8" t="n">
        <v>8940000000</v>
      </c>
      <c r="G98" s="6" t="inlineStr">
        <is>
          <t>Consumer loan collections</t>
        </is>
      </c>
    </row>
    <row r="99" ht="16" customHeight="1">
      <c r="A99" s="9" t="n">
        <v>44900</v>
      </c>
      <c r="B99" s="10" t="inlineStr">
        <is>
          <t>GST PAYMENT-NOV 2022</t>
        </is>
      </c>
      <c r="C99" s="10" t="inlineStr">
        <is>
          <t>NEFT</t>
        </is>
      </c>
      <c r="D99" s="13" t="n">
        <v>46500000</v>
      </c>
      <c r="E99" s="7" t="inlineStr"/>
      <c r="F99" s="12" t="n">
        <v>8893500000</v>
      </c>
      <c r="G99" s="10" t="inlineStr">
        <is>
          <t>GST Nov-22 payment</t>
        </is>
      </c>
    </row>
    <row r="100" ht="16" customHeight="1">
      <c r="A100" s="5" t="n">
        <v>44903</v>
      </c>
      <c r="B100" s="6" t="inlineStr">
        <is>
          <t>RTGS-EMI COLLECTIONS-HOME LOANS DEC</t>
        </is>
      </c>
      <c r="C100" s="6" t="inlineStr">
        <is>
          <t>RTGS</t>
        </is>
      </c>
      <c r="D100" s="7" t="inlineStr"/>
      <c r="E100" s="11" t="n">
        <v>720000000</v>
      </c>
      <c r="F100" s="8" t="n">
        <v>9613500000</v>
      </c>
      <c r="G100" s="6" t="inlineStr">
        <is>
          <t>Home loan collections</t>
        </is>
      </c>
    </row>
    <row r="101" ht="16" customHeight="1">
      <c r="A101" s="9" t="n">
        <v>44905</v>
      </c>
      <c r="B101" s="10" t="inlineStr">
        <is>
          <t>SALARY TRANSFER-DEC 2022</t>
        </is>
      </c>
      <c r="C101" s="10" t="inlineStr">
        <is>
          <t>NEFT</t>
        </is>
      </c>
      <c r="D101" s="13" t="n">
        <v>520000000</v>
      </c>
      <c r="E101" s="7" t="inlineStr"/>
      <c r="F101" s="12" t="n">
        <v>9093500000</v>
      </c>
      <c r="G101" s="10" t="inlineStr">
        <is>
          <t>Monthly salary</t>
        </is>
      </c>
    </row>
    <row r="102" ht="16" customHeight="1">
      <c r="A102" s="5" t="n">
        <v>44907</v>
      </c>
      <c r="B102" s="6" t="inlineStr">
        <is>
          <t>LOAN DISBURSEMENT-FESTIVE SEASON BATCH DEC</t>
        </is>
      </c>
      <c r="C102" s="6" t="inlineStr">
        <is>
          <t>NEFT</t>
        </is>
      </c>
      <c r="D102" s="13" t="n">
        <v>1500000000</v>
      </c>
      <c r="E102" s="7" t="inlineStr"/>
      <c r="F102" s="8" t="n">
        <v>7593500000</v>
      </c>
      <c r="G102" s="6" t="inlineStr">
        <is>
          <t>Festive season disbursements</t>
        </is>
      </c>
    </row>
    <row r="103" ht="16" customHeight="1">
      <c r="A103" s="9" t="n">
        <v>44910</v>
      </c>
      <c r="B103" s="10" t="inlineStr">
        <is>
          <t>NEFT-EMI COLLECTIONS-CORPORATE DEC</t>
        </is>
      </c>
      <c r="C103" s="10" t="inlineStr">
        <is>
          <t>NEFT</t>
        </is>
      </c>
      <c r="D103" s="7" t="inlineStr"/>
      <c r="E103" s="11" t="n">
        <v>800000000</v>
      </c>
      <c r="F103" s="12" t="n">
        <v>8393500000</v>
      </c>
      <c r="G103" s="10" t="inlineStr">
        <is>
          <t>Corporate loan collections</t>
        </is>
      </c>
    </row>
    <row r="104" ht="16" customHeight="1">
      <c r="A104" s="5" t="n">
        <v>44915</v>
      </c>
      <c r="B104" s="6" t="inlineStr">
        <is>
          <t>RTGS-EMI COLLECTIONS-SME LOANS DEC</t>
        </is>
      </c>
      <c r="C104" s="6" t="inlineStr">
        <is>
          <t>RTGS</t>
        </is>
      </c>
      <c r="D104" s="7" t="inlineStr"/>
      <c r="E104" s="11" t="n">
        <v>460000000</v>
      </c>
      <c r="F104" s="8" t="n">
        <v>8853500000</v>
      </c>
      <c r="G104" s="6" t="inlineStr">
        <is>
          <t>SME loan collections</t>
        </is>
      </c>
    </row>
    <row r="105" ht="16" customHeight="1">
      <c r="A105" s="9" t="n">
        <v>44920</v>
      </c>
      <c r="B105" s="10" t="inlineStr">
        <is>
          <t>ADVANCE TAX PAYMENT-Q3 FY23</t>
        </is>
      </c>
      <c r="C105" s="10" t="inlineStr">
        <is>
          <t>NEFT</t>
        </is>
      </c>
      <c r="D105" s="13" t="n">
        <v>450000000</v>
      </c>
      <c r="E105" s="7" t="inlineStr"/>
      <c r="F105" s="12" t="n">
        <v>8403500000</v>
      </c>
      <c r="G105" s="10" t="inlineStr">
        <is>
          <t>Advance tax Q3 FY23</t>
        </is>
      </c>
    </row>
    <row r="106" ht="16" customHeight="1">
      <c r="A106" s="5" t="n">
        <v>44923</v>
      </c>
      <c r="B106" s="6" t="inlineStr">
        <is>
          <t>NEFT-EMI COLLECTIONS-RURAL FINANCE DEC</t>
        </is>
      </c>
      <c r="C106" s="6" t="inlineStr">
        <is>
          <t>NEFT</t>
        </is>
      </c>
      <c r="D106" s="7" t="inlineStr"/>
      <c r="E106" s="11" t="n">
        <v>360000000</v>
      </c>
      <c r="F106" s="8" t="n">
        <v>8763500000</v>
      </c>
      <c r="G106" s="6" t="inlineStr">
        <is>
          <t>Rural finance collections</t>
        </is>
      </c>
    </row>
    <row r="107" ht="16" customHeight="1">
      <c r="A107" s="9" t="n">
        <v>44926</v>
      </c>
      <c r="B107" s="10" t="inlineStr">
        <is>
          <t>INTEREST PAYMENT-NCD DEBENTURE HOLDERS</t>
        </is>
      </c>
      <c r="C107" s="10" t="inlineStr">
        <is>
          <t>NEFT</t>
        </is>
      </c>
      <c r="D107" s="13" t="n">
        <v>320000000</v>
      </c>
      <c r="E107" s="7" t="inlineStr"/>
      <c r="F107" s="12" t="n">
        <v>8443500000</v>
      </c>
      <c r="G107" s="10" t="inlineStr">
        <is>
          <t>NCD interest payment</t>
        </is>
      </c>
    </row>
    <row r="108" ht="16" customHeight="1">
      <c r="A108" s="5" t="n">
        <v>44930</v>
      </c>
      <c r="B108" s="6" t="inlineStr">
        <is>
          <t>NEFT-EMI COLLECTIONS-CONSUMER DURABLES JAN</t>
        </is>
      </c>
      <c r="C108" s="6" t="inlineStr">
        <is>
          <t>NEFT</t>
        </is>
      </c>
      <c r="D108" s="7" t="inlineStr"/>
      <c r="E108" s="11" t="n">
        <v>950000000</v>
      </c>
      <c r="F108" s="8" t="n">
        <v>9393500000</v>
      </c>
      <c r="G108" s="6" t="inlineStr">
        <is>
          <t>Consumer loan collections</t>
        </is>
      </c>
    </row>
    <row r="109" ht="16" customHeight="1">
      <c r="A109" s="9" t="n">
        <v>44931</v>
      </c>
      <c r="B109" s="10" t="inlineStr">
        <is>
          <t>GST PAYMENT-DEC 2022</t>
        </is>
      </c>
      <c r="C109" s="10" t="inlineStr">
        <is>
          <t>NEFT</t>
        </is>
      </c>
      <c r="D109" s="13" t="n">
        <v>47000000</v>
      </c>
      <c r="E109" s="7" t="inlineStr"/>
      <c r="F109" s="12" t="n">
        <v>9346500000</v>
      </c>
      <c r="G109" s="10" t="inlineStr">
        <is>
          <t>GST Dec-22 payment</t>
        </is>
      </c>
    </row>
    <row r="110" ht="16" customHeight="1">
      <c r="A110" s="5" t="n">
        <v>44934</v>
      </c>
      <c r="B110" s="6" t="inlineStr">
        <is>
          <t>RTGS-EMI COLLECTIONS-HOME LOANS JAN</t>
        </is>
      </c>
      <c r="C110" s="6" t="inlineStr">
        <is>
          <t>RTGS</t>
        </is>
      </c>
      <c r="D110" s="7" t="inlineStr"/>
      <c r="E110" s="11" t="n">
        <v>710000000</v>
      </c>
      <c r="F110" s="8" t="n">
        <v>10056500000</v>
      </c>
      <c r="G110" s="6" t="inlineStr">
        <is>
          <t>Home loan collections</t>
        </is>
      </c>
    </row>
    <row r="111" ht="16" customHeight="1">
      <c r="A111" s="9" t="n">
        <v>44936</v>
      </c>
      <c r="B111" s="10" t="inlineStr">
        <is>
          <t>SALARY TRANSFER-JAN 2023</t>
        </is>
      </c>
      <c r="C111" s="10" t="inlineStr">
        <is>
          <t>NEFT</t>
        </is>
      </c>
      <c r="D111" s="13" t="n">
        <v>525000000</v>
      </c>
      <c r="E111" s="7" t="inlineStr"/>
      <c r="F111" s="12" t="n">
        <v>9531500000</v>
      </c>
      <c r="G111" s="10" t="inlineStr">
        <is>
          <t>Monthly salary</t>
        </is>
      </c>
    </row>
    <row r="112" ht="16" customHeight="1">
      <c r="A112" s="5" t="n">
        <v>44938</v>
      </c>
      <c r="B112" s="6" t="inlineStr">
        <is>
          <t>LOAN DISBURSEMENT-PERSONAL LOAN BATCH JAN</t>
        </is>
      </c>
      <c r="C112" s="6" t="inlineStr">
        <is>
          <t>NEFT</t>
        </is>
      </c>
      <c r="D112" s="13" t="n">
        <v>1320000000</v>
      </c>
      <c r="E112" s="7" t="inlineStr"/>
      <c r="F112" s="8" t="n">
        <v>8211500000</v>
      </c>
      <c r="G112" s="6" t="inlineStr">
        <is>
          <t>Personal loan disbursements</t>
        </is>
      </c>
    </row>
    <row r="113" ht="16" customHeight="1">
      <c r="A113" s="9" t="n">
        <v>44941</v>
      </c>
      <c r="B113" s="10" t="inlineStr">
        <is>
          <t>NEFT-EMI COLLECTIONS-TWO WHEELER JAN</t>
        </is>
      </c>
      <c r="C113" s="10" t="inlineStr">
        <is>
          <t>NEFT</t>
        </is>
      </c>
      <c r="D113" s="7" t="inlineStr"/>
      <c r="E113" s="11" t="n">
        <v>480000000</v>
      </c>
      <c r="F113" s="12" t="n">
        <v>8691500000</v>
      </c>
      <c r="G113" s="10" t="inlineStr">
        <is>
          <t>Two wheeler collections</t>
        </is>
      </c>
    </row>
    <row r="114" ht="16" customHeight="1">
      <c r="A114" s="5" t="n">
        <v>44946</v>
      </c>
      <c r="B114" s="6" t="inlineStr">
        <is>
          <t>RTGS-EMI COLLECTIONS-SME LOANS JAN</t>
        </is>
      </c>
      <c r="C114" s="6" t="inlineStr">
        <is>
          <t>RTGS</t>
        </is>
      </c>
      <c r="D114" s="7" t="inlineStr"/>
      <c r="E114" s="11" t="n">
        <v>450000000</v>
      </c>
      <c r="F114" s="8" t="n">
        <v>9141500000</v>
      </c>
      <c r="G114" s="6" t="inlineStr">
        <is>
          <t>SME loan collections</t>
        </is>
      </c>
    </row>
    <row r="115" ht="16" customHeight="1">
      <c r="A115" s="9" t="n">
        <v>44951</v>
      </c>
      <c r="B115" s="10" t="inlineStr">
        <is>
          <t>RENT+UTILITIES ALL OFFICES JAN 2023</t>
        </is>
      </c>
      <c r="C115" s="10" t="inlineStr">
        <is>
          <t>NEFT</t>
        </is>
      </c>
      <c r="D115" s="13" t="n">
        <v>23000000</v>
      </c>
      <c r="E115" s="7" t="inlineStr"/>
      <c r="F115" s="12" t="n">
        <v>9118500000</v>
      </c>
      <c r="G115" s="10" t="inlineStr">
        <is>
          <t>Rent and utilities</t>
        </is>
      </c>
    </row>
    <row r="116" ht="16" customHeight="1">
      <c r="A116" s="5" t="n">
        <v>44954</v>
      </c>
      <c r="B116" s="6" t="inlineStr">
        <is>
          <t>NEFT-EMI COLLECTIONS-DIGITAL LOANS JAN</t>
        </is>
      </c>
      <c r="C116" s="6" t="inlineStr">
        <is>
          <t>NEFT</t>
        </is>
      </c>
      <c r="D116" s="7" t="inlineStr"/>
      <c r="E116" s="11" t="n">
        <v>230000000</v>
      </c>
      <c r="F116" s="8" t="n">
        <v>9348500000</v>
      </c>
      <c r="G116" s="6" t="inlineStr">
        <is>
          <t>Digital loan collections</t>
        </is>
      </c>
    </row>
    <row r="117" ht="16" customHeight="1">
      <c r="A117" s="9" t="n">
        <v>44957</v>
      </c>
      <c r="B117" s="10" t="inlineStr">
        <is>
          <t>INTEREST PAYMENT-NCD DEBENTURE HOLDERS</t>
        </is>
      </c>
      <c r="C117" s="10" t="inlineStr">
        <is>
          <t>NEFT</t>
        </is>
      </c>
      <c r="D117" s="13" t="n">
        <v>320000000</v>
      </c>
      <c r="E117" s="7" t="inlineStr"/>
      <c r="F117" s="12" t="n">
        <v>9028500000</v>
      </c>
      <c r="G117" s="10" t="inlineStr">
        <is>
          <t>NCD interest payment</t>
        </is>
      </c>
    </row>
    <row r="118" ht="16" customHeight="1">
      <c r="A118" s="5" t="n">
        <v>44960</v>
      </c>
      <c r="B118" s="6" t="inlineStr">
        <is>
          <t>NEFT-EMI COLLECTIONS-CONSUMER DURABLES FEB</t>
        </is>
      </c>
      <c r="C118" s="6" t="inlineStr">
        <is>
          <t>NEFT</t>
        </is>
      </c>
      <c r="D118" s="7" t="inlineStr"/>
      <c r="E118" s="11" t="n">
        <v>920000000</v>
      </c>
      <c r="F118" s="8" t="n">
        <v>9948500000</v>
      </c>
      <c r="G118" s="6" t="inlineStr">
        <is>
          <t>Consumer loan collections</t>
        </is>
      </c>
    </row>
    <row r="119" ht="16" customHeight="1">
      <c r="A119" s="9" t="n">
        <v>44962</v>
      </c>
      <c r="B119" s="10" t="inlineStr">
        <is>
          <t>GST PAYMENT-JAN 2023</t>
        </is>
      </c>
      <c r="C119" s="10" t="inlineStr">
        <is>
          <t>NEFT</t>
        </is>
      </c>
      <c r="D119" s="13" t="n">
        <v>46500000</v>
      </c>
      <c r="E119" s="7" t="inlineStr"/>
      <c r="F119" s="12" t="n">
        <v>9902000000</v>
      </c>
      <c r="G119" s="10" t="inlineStr">
        <is>
          <t>GST Jan-23 payment</t>
        </is>
      </c>
    </row>
    <row r="120" ht="16" customHeight="1">
      <c r="A120" s="5" t="n">
        <v>44965</v>
      </c>
      <c r="B120" s="6" t="inlineStr">
        <is>
          <t>RTGS-EMI COLLECTIONS-HOME LOANS FEB</t>
        </is>
      </c>
      <c r="C120" s="6" t="inlineStr">
        <is>
          <t>RTGS</t>
        </is>
      </c>
      <c r="D120" s="7" t="inlineStr"/>
      <c r="E120" s="11" t="n">
        <v>700000000</v>
      </c>
      <c r="F120" s="8" t="n">
        <v>10602000000</v>
      </c>
      <c r="G120" s="6" t="inlineStr">
        <is>
          <t>Home loan collections</t>
        </is>
      </c>
    </row>
    <row r="121" ht="16" customHeight="1">
      <c r="A121" s="9" t="n">
        <v>44967</v>
      </c>
      <c r="B121" s="10" t="inlineStr">
        <is>
          <t>SALARY TRANSFER-FEB 2023</t>
        </is>
      </c>
      <c r="C121" s="10" t="inlineStr">
        <is>
          <t>NEFT</t>
        </is>
      </c>
      <c r="D121" s="13" t="n">
        <v>530000000</v>
      </c>
      <c r="E121" s="7" t="inlineStr"/>
      <c r="F121" s="12" t="n">
        <v>10072000000</v>
      </c>
      <c r="G121" s="10" t="inlineStr">
        <is>
          <t>Monthly salary</t>
        </is>
      </c>
    </row>
    <row r="122" ht="16" customHeight="1">
      <c r="A122" s="5" t="n">
        <v>44969</v>
      </c>
      <c r="B122" s="6" t="inlineStr">
        <is>
          <t>LOAN DISBURSEMENT-SME LOAN BATCH FEB</t>
        </is>
      </c>
      <c r="C122" s="6" t="inlineStr">
        <is>
          <t>NEFT</t>
        </is>
      </c>
      <c r="D122" s="13" t="n">
        <v>1050000000</v>
      </c>
      <c r="E122" s="7" t="inlineStr"/>
      <c r="F122" s="8" t="n">
        <v>9022000000</v>
      </c>
      <c r="G122" s="6" t="inlineStr">
        <is>
          <t>SME loan disbursements</t>
        </is>
      </c>
    </row>
    <row r="123" ht="16" customHeight="1">
      <c r="A123" s="9" t="n">
        <v>44972</v>
      </c>
      <c r="B123" s="10" t="inlineStr">
        <is>
          <t>NEFT-EMI COLLECTIONS-RURAL FINANCE FEB</t>
        </is>
      </c>
      <c r="C123" s="10" t="inlineStr">
        <is>
          <t>NEFT</t>
        </is>
      </c>
      <c r="D123" s="7" t="inlineStr"/>
      <c r="E123" s="11" t="n">
        <v>350000000</v>
      </c>
      <c r="F123" s="12" t="n">
        <v>9372000000</v>
      </c>
      <c r="G123" s="10" t="inlineStr">
        <is>
          <t>Rural finance collections</t>
        </is>
      </c>
    </row>
    <row r="124" ht="16" customHeight="1">
      <c r="A124" s="5" t="n">
        <v>44977</v>
      </c>
      <c r="B124" s="6" t="inlineStr">
        <is>
          <t>RTGS-EMI COLLECTIONS-CORPORATE FEB</t>
        </is>
      </c>
      <c r="C124" s="6" t="inlineStr">
        <is>
          <t>RTGS</t>
        </is>
      </c>
      <c r="D124" s="7" t="inlineStr"/>
      <c r="E124" s="11" t="n">
        <v>820000000</v>
      </c>
      <c r="F124" s="8" t="n">
        <v>10192000000</v>
      </c>
      <c r="G124" s="6" t="inlineStr">
        <is>
          <t>Corporate loan collections</t>
        </is>
      </c>
    </row>
    <row r="125" ht="16" customHeight="1">
      <c r="A125" s="9" t="n">
        <v>44982</v>
      </c>
      <c r="B125" s="10" t="inlineStr">
        <is>
          <t>VENDOR PAYMENT-AUDIT FEES-BSRCO</t>
        </is>
      </c>
      <c r="C125" s="10" t="inlineStr">
        <is>
          <t>NEFT</t>
        </is>
      </c>
      <c r="D125" s="13" t="n">
        <v>45000000</v>
      </c>
      <c r="E125" s="7" t="inlineStr"/>
      <c r="F125" s="12" t="n">
        <v>10147000000</v>
      </c>
      <c r="G125" s="10" t="inlineStr">
        <is>
          <t>Audit fees FY22</t>
        </is>
      </c>
    </row>
    <row r="126" ht="16" customHeight="1">
      <c r="A126" s="5" t="n">
        <v>44985</v>
      </c>
      <c r="B126" s="6" t="inlineStr">
        <is>
          <t>NEFT-EMI COLLECTIONS-TWO WHEELER FEB</t>
        </is>
      </c>
      <c r="C126" s="6" t="inlineStr">
        <is>
          <t>NEFT</t>
        </is>
      </c>
      <c r="D126" s="7" t="inlineStr"/>
      <c r="E126" s="11" t="n">
        <v>490000000</v>
      </c>
      <c r="F126" s="8" t="n">
        <v>10637000000</v>
      </c>
      <c r="G126" s="6" t="inlineStr">
        <is>
          <t>Two wheeler collections</t>
        </is>
      </c>
    </row>
    <row r="127" ht="16" customHeight="1">
      <c r="A127" s="9" t="n">
        <v>44988</v>
      </c>
      <c r="B127" s="10" t="inlineStr">
        <is>
          <t>NEFT-EMI COLLECTIONS-CONSUMER DURABLES MAR</t>
        </is>
      </c>
      <c r="C127" s="10" t="inlineStr">
        <is>
          <t>NEFT</t>
        </is>
      </c>
      <c r="D127" s="7" t="inlineStr"/>
      <c r="E127" s="11" t="n">
        <v>1000000000</v>
      </c>
      <c r="F127" s="12" t="n">
        <v>11637000000</v>
      </c>
      <c r="G127" s="10" t="inlineStr">
        <is>
          <t>Consumer loan collections</t>
        </is>
      </c>
    </row>
    <row r="128" ht="16" customHeight="1">
      <c r="A128" s="5" t="n">
        <v>44990</v>
      </c>
      <c r="B128" s="6" t="inlineStr">
        <is>
          <t>GST PAYMENT-FEB 2023</t>
        </is>
      </c>
      <c r="C128" s="6" t="inlineStr">
        <is>
          <t>NEFT</t>
        </is>
      </c>
      <c r="D128" s="13" t="n">
        <v>46000000</v>
      </c>
      <c r="E128" s="7" t="inlineStr"/>
      <c r="F128" s="8" t="n">
        <v>11591000000</v>
      </c>
      <c r="G128" s="6" t="inlineStr">
        <is>
          <t>GST Feb-23 payment</t>
        </is>
      </c>
    </row>
    <row r="129" ht="16" customHeight="1">
      <c r="A129" s="9" t="n">
        <v>44993</v>
      </c>
      <c r="B129" s="10" t="inlineStr">
        <is>
          <t>RTGS-EMI COLLECTIONS-HOME LOANS MAR</t>
        </is>
      </c>
      <c r="C129" s="10" t="inlineStr">
        <is>
          <t>RTGS</t>
        </is>
      </c>
      <c r="D129" s="7" t="inlineStr"/>
      <c r="E129" s="11" t="n">
        <v>740000000</v>
      </c>
      <c r="F129" s="12" t="n">
        <v>12331000000</v>
      </c>
      <c r="G129" s="10" t="inlineStr">
        <is>
          <t>Home loan collections</t>
        </is>
      </c>
    </row>
    <row r="130" ht="16" customHeight="1">
      <c r="A130" s="5" t="n">
        <v>44995</v>
      </c>
      <c r="B130" s="6" t="inlineStr">
        <is>
          <t>SALARY TRANSFER-MAR 2023</t>
        </is>
      </c>
      <c r="C130" s="6" t="inlineStr">
        <is>
          <t>NEFT</t>
        </is>
      </c>
      <c r="D130" s="13" t="n">
        <v>535000000</v>
      </c>
      <c r="E130" s="7" t="inlineStr"/>
      <c r="F130" s="8" t="n">
        <v>11796000000</v>
      </c>
      <c r="G130" s="6" t="inlineStr">
        <is>
          <t>Monthly salary</t>
        </is>
      </c>
    </row>
    <row r="131" ht="16" customHeight="1">
      <c r="A131" s="9" t="n">
        <v>44997</v>
      </c>
      <c r="B131" s="10" t="inlineStr">
        <is>
          <t>LOAN DISBURSEMENT-YEAR END BATCH MAR</t>
        </is>
      </c>
      <c r="C131" s="10" t="inlineStr">
        <is>
          <t>NEFT</t>
        </is>
      </c>
      <c r="D131" s="13" t="n">
        <v>1600000000</v>
      </c>
      <c r="E131" s="7" t="inlineStr"/>
      <c r="F131" s="12" t="n">
        <v>10196000000</v>
      </c>
      <c r="G131" s="10" t="inlineStr">
        <is>
          <t>Year-end disbursements</t>
        </is>
      </c>
    </row>
    <row r="132" ht="16" customHeight="1">
      <c r="A132" s="5" t="n">
        <v>45000</v>
      </c>
      <c r="B132" s="6" t="inlineStr">
        <is>
          <t>NEFT-EMI COLLECTIONS-SME LOANS MAR</t>
        </is>
      </c>
      <c r="C132" s="6" t="inlineStr">
        <is>
          <t>NEFT</t>
        </is>
      </c>
      <c r="D132" s="7" t="inlineStr"/>
      <c r="E132" s="11" t="n">
        <v>480000000</v>
      </c>
      <c r="F132" s="8" t="n">
        <v>10676000000</v>
      </c>
      <c r="G132" s="6" t="inlineStr">
        <is>
          <t>SME loan collections</t>
        </is>
      </c>
    </row>
    <row r="133" ht="16" customHeight="1">
      <c r="A133" s="9" t="n">
        <v>45005</v>
      </c>
      <c r="B133" s="10" t="inlineStr">
        <is>
          <t>RTGS-EMI COLLECTIONS-ALL DIVISIONS MAR</t>
        </is>
      </c>
      <c r="C133" s="10" t="inlineStr">
        <is>
          <t>RTGS</t>
        </is>
      </c>
      <c r="D133" s="7" t="inlineStr"/>
      <c r="E133" s="11" t="n">
        <v>860000000</v>
      </c>
      <c r="F133" s="12" t="n">
        <v>11536000000</v>
      </c>
      <c r="G133" s="10" t="inlineStr">
        <is>
          <t>All divisions collections</t>
        </is>
      </c>
    </row>
    <row r="134" ht="16" customHeight="1">
      <c r="A134" s="5" t="n">
        <v>45010</v>
      </c>
      <c r="B134" s="6" t="inlineStr">
        <is>
          <t>ADVANCE TAX PAYMENT-Q4 FY23</t>
        </is>
      </c>
      <c r="C134" s="6" t="inlineStr">
        <is>
          <t>NEFT</t>
        </is>
      </c>
      <c r="D134" s="13" t="n">
        <v>520000000</v>
      </c>
      <c r="E134" s="7" t="inlineStr"/>
      <c r="F134" s="8" t="n">
        <v>11016000000</v>
      </c>
      <c r="G134" s="6" t="inlineStr">
        <is>
          <t>Advance tax Q4 FY23</t>
        </is>
      </c>
    </row>
    <row r="135" ht="16" customHeight="1">
      <c r="A135" s="9" t="n">
        <v>45013</v>
      </c>
      <c r="B135" s="10" t="inlineStr">
        <is>
          <t>NEFT-YEAR END COLLECTIONS-ALL ZONES</t>
        </is>
      </c>
      <c r="C135" s="10" t="inlineStr">
        <is>
          <t>NEFT</t>
        </is>
      </c>
      <c r="D135" s="7" t="inlineStr"/>
      <c r="E135" s="11" t="n">
        <v>1100000000</v>
      </c>
      <c r="F135" s="12" t="n">
        <v>12116000000</v>
      </c>
      <c r="G135" s="10" t="inlineStr">
        <is>
          <t>Year-end collections all zones</t>
        </is>
      </c>
    </row>
    <row r="136" ht="16" customHeight="1">
      <c r="A136" s="5" t="n">
        <v>45016</v>
      </c>
      <c r="B136" s="6" t="inlineStr">
        <is>
          <t>INTEREST PAYMENT-NCD DEBENTURE HOLDERS</t>
        </is>
      </c>
      <c r="C136" s="6" t="inlineStr">
        <is>
          <t>NEFT</t>
        </is>
      </c>
      <c r="D136" s="13" t="n">
        <v>320000000</v>
      </c>
      <c r="E136" s="7" t="inlineStr"/>
      <c r="F136" s="8" t="n">
        <v>11796000000</v>
      </c>
      <c r="G136" s="6" t="inlineStr">
        <is>
          <t>NCD interest payment</t>
        </is>
      </c>
    </row>
    <row r="137" ht="16" customHeight="1">
      <c r="A137" s="9" t="n">
        <v>45019</v>
      </c>
      <c r="B137" s="10" t="inlineStr">
        <is>
          <t>NEFT-EMI COLLECTIONS-CONSUMER DURABLES APR</t>
        </is>
      </c>
      <c r="C137" s="10" t="inlineStr">
        <is>
          <t>NEFT</t>
        </is>
      </c>
      <c r="D137" s="7" t="inlineStr"/>
      <c r="E137" s="11" t="n">
        <v>1050000000</v>
      </c>
      <c r="F137" s="12" t="n">
        <v>12846000000</v>
      </c>
      <c r="G137" s="10" t="inlineStr">
        <is>
          <t>Consumer loan collections</t>
        </is>
      </c>
    </row>
    <row r="138" ht="16" customHeight="1">
      <c r="A138" s="5" t="n">
        <v>45021</v>
      </c>
      <c r="B138" s="6" t="inlineStr">
        <is>
          <t>GST PAYMENT-MAR 2023</t>
        </is>
      </c>
      <c r="C138" s="6" t="inlineStr">
        <is>
          <t>NEFT</t>
        </is>
      </c>
      <c r="D138" s="13" t="n">
        <v>52000000</v>
      </c>
      <c r="E138" s="7" t="inlineStr"/>
      <c r="F138" s="8" t="n">
        <v>12794000000</v>
      </c>
      <c r="G138" s="6" t="inlineStr">
        <is>
          <t>GST Mar-23 payment</t>
        </is>
      </c>
    </row>
    <row r="139" ht="16" customHeight="1">
      <c r="A139" s="9" t="n">
        <v>45023</v>
      </c>
      <c r="B139" s="10" t="inlineStr">
        <is>
          <t>RTGS-EMI COLLECTIONS-HOME LOANS APR</t>
        </is>
      </c>
      <c r="C139" s="10" t="inlineStr">
        <is>
          <t>RTGS</t>
        </is>
      </c>
      <c r="D139" s="7" t="inlineStr"/>
      <c r="E139" s="11" t="n">
        <v>780000000</v>
      </c>
      <c r="F139" s="12" t="n">
        <v>13574000000</v>
      </c>
      <c r="G139" s="10" t="inlineStr">
        <is>
          <t>Home loan collections</t>
        </is>
      </c>
    </row>
    <row r="140" ht="16" customHeight="1">
      <c r="A140" s="5" t="n">
        <v>45026</v>
      </c>
      <c r="B140" s="6" t="inlineStr">
        <is>
          <t>SALARY TRANSFER-APR 2023</t>
        </is>
      </c>
      <c r="C140" s="6" t="inlineStr">
        <is>
          <t>NEFT</t>
        </is>
      </c>
      <c r="D140" s="13" t="n">
        <v>560000000</v>
      </c>
      <c r="E140" s="7" t="inlineStr"/>
      <c r="F140" s="8" t="n">
        <v>13014000000</v>
      </c>
      <c r="G140" s="6" t="inlineStr">
        <is>
          <t>Monthly salary</t>
        </is>
      </c>
    </row>
    <row r="141" ht="16" customHeight="1">
      <c r="A141" s="9" t="n">
        <v>45028</v>
      </c>
      <c r="B141" s="10" t="inlineStr">
        <is>
          <t>LOAN DISBURSEMENT-PERSONAL LOAN BATCH APR</t>
        </is>
      </c>
      <c r="C141" s="10" t="inlineStr">
        <is>
          <t>NEFT</t>
        </is>
      </c>
      <c r="D141" s="13" t="n">
        <v>1450000000</v>
      </c>
      <c r="E141" s="7" t="inlineStr"/>
      <c r="F141" s="12" t="n">
        <v>11564000000</v>
      </c>
      <c r="G141" s="10" t="inlineStr">
        <is>
          <t>Personal loan disbursements</t>
        </is>
      </c>
    </row>
    <row r="142" ht="16" customHeight="1">
      <c r="A142" s="5" t="n">
        <v>45031</v>
      </c>
      <c r="B142" s="6" t="inlineStr">
        <is>
          <t>NEFT-EMI COLLECTIONS-SME LOANS APR</t>
        </is>
      </c>
      <c r="C142" s="6" t="inlineStr">
        <is>
          <t>NEFT</t>
        </is>
      </c>
      <c r="D142" s="7" t="inlineStr"/>
      <c r="E142" s="11" t="n">
        <v>510000000</v>
      </c>
      <c r="F142" s="8" t="n">
        <v>12074000000</v>
      </c>
      <c r="G142" s="6" t="inlineStr">
        <is>
          <t>SME loan collections</t>
        </is>
      </c>
    </row>
    <row r="143" ht="16" customHeight="1">
      <c r="A143" s="9" t="n">
        <v>45034</v>
      </c>
      <c r="B143" s="10" t="inlineStr">
        <is>
          <t>RTGS-EMI COLLECTIONS-TWO WHEELER APR</t>
        </is>
      </c>
      <c r="C143" s="10" t="inlineStr">
        <is>
          <t>RTGS</t>
        </is>
      </c>
      <c r="D143" s="7" t="inlineStr"/>
      <c r="E143" s="11" t="n">
        <v>540000000</v>
      </c>
      <c r="F143" s="12" t="n">
        <v>12614000000</v>
      </c>
      <c r="G143" s="10" t="inlineStr">
        <is>
          <t>Two wheeler collections</t>
        </is>
      </c>
    </row>
    <row r="144" ht="16" customHeight="1">
      <c r="A144" s="5" t="n">
        <v>45036</v>
      </c>
      <c r="B144" s="6" t="inlineStr">
        <is>
          <t>RENT+UTILITIES ALL OFFICES APR 2023</t>
        </is>
      </c>
      <c r="C144" s="6" t="inlineStr">
        <is>
          <t>NEFT</t>
        </is>
      </c>
      <c r="D144" s="13" t="n">
        <v>24000000</v>
      </c>
      <c r="E144" s="7" t="inlineStr"/>
      <c r="F144" s="8" t="n">
        <v>12590000000</v>
      </c>
      <c r="G144" s="6" t="inlineStr">
        <is>
          <t>Rent and utilities</t>
        </is>
      </c>
    </row>
    <row r="145" ht="16" customHeight="1">
      <c r="A145" s="9" t="n">
        <v>45038</v>
      </c>
      <c r="B145" s="10" t="inlineStr">
        <is>
          <t>NEFT-EMI COLLECTIONS-RURAL FINANCE APR</t>
        </is>
      </c>
      <c r="C145" s="10" t="inlineStr">
        <is>
          <t>NEFT</t>
        </is>
      </c>
      <c r="D145" s="7" t="inlineStr"/>
      <c r="E145" s="11" t="n">
        <v>380000000</v>
      </c>
      <c r="F145" s="12" t="n">
        <v>12970000000</v>
      </c>
      <c r="G145" s="10" t="inlineStr">
        <is>
          <t>Rural finance collections</t>
        </is>
      </c>
    </row>
    <row r="146" ht="16" customHeight="1">
      <c r="A146" s="5" t="n">
        <v>45041</v>
      </c>
      <c r="B146" s="6" t="inlineStr">
        <is>
          <t>INSURANCE RENEWAL-GROUP CREDIT POLICY</t>
        </is>
      </c>
      <c r="C146" s="6" t="inlineStr">
        <is>
          <t>NEFT</t>
        </is>
      </c>
      <c r="D146" s="13" t="n">
        <v>92000000</v>
      </c>
      <c r="E146" s="7" t="inlineStr"/>
      <c r="F146" s="8" t="n">
        <v>12878000000</v>
      </c>
      <c r="G146" s="6" t="inlineStr">
        <is>
          <t>Credit insurance renewal</t>
        </is>
      </c>
    </row>
    <row r="147" ht="16" customHeight="1">
      <c r="A147" s="9" t="n">
        <v>45044</v>
      </c>
      <c r="B147" s="10" t="inlineStr">
        <is>
          <t>NEFT-EMI COLLECTIONS-DIGITAL LOANS APR</t>
        </is>
      </c>
      <c r="C147" s="10" t="inlineStr">
        <is>
          <t>NEFT</t>
        </is>
      </c>
      <c r="D147" s="7" t="inlineStr"/>
      <c r="E147" s="11" t="n">
        <v>260000000</v>
      </c>
      <c r="F147" s="12" t="n">
        <v>13138000000</v>
      </c>
      <c r="G147" s="10" t="inlineStr">
        <is>
          <t>Digital loan collections</t>
        </is>
      </c>
    </row>
    <row r="148" ht="16" customHeight="1">
      <c r="A148" s="5" t="n">
        <v>45046</v>
      </c>
      <c r="B148" s="6" t="inlineStr">
        <is>
          <t>INTEREST PAYMENT-NCD DEBENTURE HOLDERS</t>
        </is>
      </c>
      <c r="C148" s="6" t="inlineStr">
        <is>
          <t>NEFT</t>
        </is>
      </c>
      <c r="D148" s="13" t="n">
        <v>360000000</v>
      </c>
      <c r="E148" s="7" t="inlineStr"/>
      <c r="F148" s="8" t="n">
        <v>12778000000</v>
      </c>
      <c r="G148" s="6" t="inlineStr">
        <is>
          <t>NCD interest payment</t>
        </is>
      </c>
    </row>
    <row r="149" ht="16" customHeight="1">
      <c r="A149" s="9" t="n">
        <v>45049</v>
      </c>
      <c r="B149" s="10" t="inlineStr">
        <is>
          <t>NEFT-EMI COLLECTIONS-CONSUMER DURABLES MAY</t>
        </is>
      </c>
      <c r="C149" s="10" t="inlineStr">
        <is>
          <t>NEFT</t>
        </is>
      </c>
      <c r="D149" s="7" t="inlineStr"/>
      <c r="E149" s="11" t="n">
        <v>1080000000</v>
      </c>
      <c r="F149" s="12" t="n">
        <v>13858000000</v>
      </c>
      <c r="G149" s="10" t="inlineStr">
        <is>
          <t>Consumer loan collections</t>
        </is>
      </c>
    </row>
    <row r="150" ht="16" customHeight="1">
      <c r="A150" s="5" t="n">
        <v>45051</v>
      </c>
      <c r="B150" s="6" t="inlineStr">
        <is>
          <t>GST PAYMENT-APR 2023</t>
        </is>
      </c>
      <c r="C150" s="6" t="inlineStr">
        <is>
          <t>NEFT</t>
        </is>
      </c>
      <c r="D150" s="13" t="n">
        <v>54000000</v>
      </c>
      <c r="E150" s="7" t="inlineStr"/>
      <c r="F150" s="8" t="n">
        <v>13804000000</v>
      </c>
      <c r="G150" s="6" t="inlineStr">
        <is>
          <t>GST Apr-23 payment</t>
        </is>
      </c>
    </row>
    <row r="151" ht="16" customHeight="1">
      <c r="A151" s="9" t="n">
        <v>45054</v>
      </c>
      <c r="B151" s="10" t="inlineStr">
        <is>
          <t>RTGS-EMI COLLECTIONS-HOME LOANS MAY</t>
        </is>
      </c>
      <c r="C151" s="10" t="inlineStr">
        <is>
          <t>RTGS</t>
        </is>
      </c>
      <c r="D151" s="7" t="inlineStr"/>
      <c r="E151" s="11" t="n">
        <v>800000000</v>
      </c>
      <c r="F151" s="12" t="n">
        <v>14604000000</v>
      </c>
      <c r="G151" s="10" t="inlineStr">
        <is>
          <t>Home loan collections</t>
        </is>
      </c>
    </row>
    <row r="152" ht="16" customHeight="1">
      <c r="A152" s="5" t="n">
        <v>45056</v>
      </c>
      <c r="B152" s="6" t="inlineStr">
        <is>
          <t>SALARY TRANSFER-MAY 2023</t>
        </is>
      </c>
      <c r="C152" s="6" t="inlineStr">
        <is>
          <t>NEFT</t>
        </is>
      </c>
      <c r="D152" s="13" t="n">
        <v>565000000</v>
      </c>
      <c r="E152" s="7" t="inlineStr"/>
      <c r="F152" s="8" t="n">
        <v>14039000000</v>
      </c>
      <c r="G152" s="6" t="inlineStr">
        <is>
          <t>Monthly salary</t>
        </is>
      </c>
    </row>
    <row r="153" ht="16" customHeight="1">
      <c r="A153" s="9" t="n">
        <v>45058</v>
      </c>
      <c r="B153" s="10" t="inlineStr">
        <is>
          <t>LOAN DISBURSEMENT-SME LOAN BATCH MAY</t>
        </is>
      </c>
      <c r="C153" s="10" t="inlineStr">
        <is>
          <t>NEFT</t>
        </is>
      </c>
      <c r="D153" s="13" t="n">
        <v>1150000000</v>
      </c>
      <c r="E153" s="7" t="inlineStr"/>
      <c r="F153" s="12" t="n">
        <v>12889000000</v>
      </c>
      <c r="G153" s="10" t="inlineStr">
        <is>
          <t>SME loan disbursements</t>
        </is>
      </c>
    </row>
    <row r="154" ht="16" customHeight="1">
      <c r="A154" s="5" t="n">
        <v>45061</v>
      </c>
      <c r="B154" s="6" t="inlineStr">
        <is>
          <t>NEFT-EMI COLLECTIONS-TWO WHEELER MAY</t>
        </is>
      </c>
      <c r="C154" s="6" t="inlineStr">
        <is>
          <t>NEFT</t>
        </is>
      </c>
      <c r="D154" s="7" t="inlineStr"/>
      <c r="E154" s="11" t="n">
        <v>560000000</v>
      </c>
      <c r="F154" s="8" t="n">
        <v>13449000000</v>
      </c>
      <c r="G154" s="6" t="inlineStr">
        <is>
          <t>Two wheeler collections</t>
        </is>
      </c>
    </row>
    <row r="155" ht="16" customHeight="1">
      <c r="A155" s="9" t="n">
        <v>45064</v>
      </c>
      <c r="B155" s="10" t="inlineStr">
        <is>
          <t>RTGS-EMI COLLECTIONS-CORPORATE MAY</t>
        </is>
      </c>
      <c r="C155" s="10" t="inlineStr">
        <is>
          <t>RTGS</t>
        </is>
      </c>
      <c r="D155" s="7" t="inlineStr"/>
      <c r="E155" s="11" t="n">
        <v>950000000</v>
      </c>
      <c r="F155" s="12" t="n">
        <v>14399000000</v>
      </c>
      <c r="G155" s="10" t="inlineStr">
        <is>
          <t>Corporate loan collections</t>
        </is>
      </c>
    </row>
    <row r="156" ht="16" customHeight="1">
      <c r="A156" s="5" t="n">
        <v>45066</v>
      </c>
      <c r="B156" s="6" t="inlineStr">
        <is>
          <t>VENDOR PAYMENT-TECHNOLOGY-TCS</t>
        </is>
      </c>
      <c r="C156" s="6" t="inlineStr">
        <is>
          <t>NEFT</t>
        </is>
      </c>
      <c r="D156" s="13" t="n">
        <v>110000000</v>
      </c>
      <c r="E156" s="7" t="inlineStr"/>
      <c r="F156" s="8" t="n">
        <v>14289000000</v>
      </c>
      <c r="G156" s="6" t="inlineStr">
        <is>
          <t>IT vendor TCS</t>
        </is>
      </c>
    </row>
    <row r="157" ht="16" customHeight="1">
      <c r="A157" s="9" t="n">
        <v>45071</v>
      </c>
      <c r="B157" s="10" t="inlineStr">
        <is>
          <t>NEFT-EMI COLLECTIONS-RURAL FINANCE MAY</t>
        </is>
      </c>
      <c r="C157" s="10" t="inlineStr">
        <is>
          <t>NEFT</t>
        </is>
      </c>
      <c r="D157" s="7" t="inlineStr"/>
      <c r="E157" s="11" t="n">
        <v>400000000</v>
      </c>
      <c r="F157" s="12" t="n">
        <v>14689000000</v>
      </c>
      <c r="G157" s="10" t="inlineStr">
        <is>
          <t>Rural finance collections</t>
        </is>
      </c>
    </row>
    <row r="158" ht="16" customHeight="1">
      <c r="A158" s="5" t="n">
        <v>45074</v>
      </c>
      <c r="B158" s="6" t="inlineStr">
        <is>
          <t>RENT+UTILITIES ALL OFFICES MAY 2023</t>
        </is>
      </c>
      <c r="C158" s="6" t="inlineStr">
        <is>
          <t>NEFT</t>
        </is>
      </c>
      <c r="D158" s="13" t="n">
        <v>24000000</v>
      </c>
      <c r="E158" s="7" t="inlineStr"/>
      <c r="F158" s="8" t="n">
        <v>14665000000</v>
      </c>
      <c r="G158" s="6" t="inlineStr">
        <is>
          <t>Rent and utilities</t>
        </is>
      </c>
    </row>
    <row r="159" ht="16" customHeight="1">
      <c r="A159" s="9" t="n">
        <v>45077</v>
      </c>
      <c r="B159" s="10" t="inlineStr">
        <is>
          <t>INTEREST PAYMENT-NCD DEBENTURE HOLDERS</t>
        </is>
      </c>
      <c r="C159" s="10" t="inlineStr">
        <is>
          <t>NEFT</t>
        </is>
      </c>
      <c r="D159" s="13" t="n">
        <v>360000000</v>
      </c>
      <c r="E159" s="7" t="inlineStr"/>
      <c r="F159" s="12" t="n">
        <v>14305000000</v>
      </c>
      <c r="G159" s="10" t="inlineStr">
        <is>
          <t>NCD interest payment</t>
        </is>
      </c>
    </row>
    <row r="160" ht="16" customHeight="1">
      <c r="A160" s="5" t="n">
        <v>45080</v>
      </c>
      <c r="B160" s="6" t="inlineStr">
        <is>
          <t>NEFT-EMI COLLECTIONS-CONSUMER DURABLES JUN</t>
        </is>
      </c>
      <c r="C160" s="6" t="inlineStr">
        <is>
          <t>NEFT</t>
        </is>
      </c>
      <c r="D160" s="7" t="inlineStr"/>
      <c r="E160" s="11" t="n">
        <v>1060000000</v>
      </c>
      <c r="F160" s="8" t="n">
        <v>15365000000</v>
      </c>
      <c r="G160" s="6" t="inlineStr">
        <is>
          <t>Consumer loan collections</t>
        </is>
      </c>
    </row>
    <row r="161" ht="16" customHeight="1">
      <c r="A161" s="9" t="n">
        <v>45082</v>
      </c>
      <c r="B161" s="10" t="inlineStr">
        <is>
          <t>GST PAYMENT-MAY 2023</t>
        </is>
      </c>
      <c r="C161" s="10" t="inlineStr">
        <is>
          <t>NEFT</t>
        </is>
      </c>
      <c r="D161" s="13" t="n">
        <v>53000000</v>
      </c>
      <c r="E161" s="7" t="inlineStr"/>
      <c r="F161" s="12" t="n">
        <v>15312000000</v>
      </c>
      <c r="G161" s="10" t="inlineStr">
        <is>
          <t>GST May-23 payment</t>
        </is>
      </c>
    </row>
    <row r="162" ht="16" customHeight="1">
      <c r="A162" s="5" t="n">
        <v>45085</v>
      </c>
      <c r="B162" s="6" t="inlineStr">
        <is>
          <t>RTGS-EMI COLLECTIONS-HOME LOANS JUN</t>
        </is>
      </c>
      <c r="C162" s="6" t="inlineStr">
        <is>
          <t>RTGS</t>
        </is>
      </c>
      <c r="D162" s="7" t="inlineStr"/>
      <c r="E162" s="11" t="n">
        <v>820000000</v>
      </c>
      <c r="F162" s="8" t="n">
        <v>16132000000</v>
      </c>
      <c r="G162" s="6" t="inlineStr">
        <is>
          <t>Home loan collections</t>
        </is>
      </c>
    </row>
    <row r="163" ht="16" customHeight="1">
      <c r="A163" s="9" t="n">
        <v>45087</v>
      </c>
      <c r="B163" s="10" t="inlineStr">
        <is>
          <t>SALARY TRANSFER-JUN 2023</t>
        </is>
      </c>
      <c r="C163" s="10" t="inlineStr">
        <is>
          <t>NEFT</t>
        </is>
      </c>
      <c r="D163" s="13" t="n">
        <v>570000000</v>
      </c>
      <c r="E163" s="7" t="inlineStr"/>
      <c r="F163" s="12" t="n">
        <v>15562000000</v>
      </c>
      <c r="G163" s="10" t="inlineStr">
        <is>
          <t>Monthly salary</t>
        </is>
      </c>
    </row>
    <row r="164" ht="16" customHeight="1">
      <c r="A164" s="5" t="n">
        <v>45089</v>
      </c>
      <c r="B164" s="6" t="inlineStr">
        <is>
          <t>LOAN DISBURSEMENT-PERSONAL LOAN BATCH JUN</t>
        </is>
      </c>
      <c r="C164" s="6" t="inlineStr">
        <is>
          <t>NEFT</t>
        </is>
      </c>
      <c r="D164" s="13" t="n">
        <v>1480000000</v>
      </c>
      <c r="E164" s="7" t="inlineStr"/>
      <c r="F164" s="8" t="n">
        <v>14082000000</v>
      </c>
      <c r="G164" s="6" t="inlineStr">
        <is>
          <t>Personal loan disbursements</t>
        </is>
      </c>
    </row>
    <row r="165" ht="16" customHeight="1">
      <c r="A165" s="9" t="n">
        <v>45092</v>
      </c>
      <c r="B165" s="10" t="inlineStr">
        <is>
          <t>NEFT-EMI COLLECTIONS-SME LOANS JUN</t>
        </is>
      </c>
      <c r="C165" s="10" t="inlineStr">
        <is>
          <t>NEFT</t>
        </is>
      </c>
      <c r="D165" s="7" t="inlineStr"/>
      <c r="E165" s="11" t="n">
        <v>530000000</v>
      </c>
      <c r="F165" s="12" t="n">
        <v>14612000000</v>
      </c>
      <c r="G165" s="10" t="inlineStr">
        <is>
          <t>SME loan collections</t>
        </is>
      </c>
    </row>
    <row r="166" ht="16" customHeight="1">
      <c r="A166" s="5" t="n">
        <v>45097</v>
      </c>
      <c r="B166" s="6" t="inlineStr">
        <is>
          <t>RTGS-EMI COLLECTIONS-DIGITAL LOANS JUN</t>
        </is>
      </c>
      <c r="C166" s="6" t="inlineStr">
        <is>
          <t>RTGS</t>
        </is>
      </c>
      <c r="D166" s="7" t="inlineStr"/>
      <c r="E166" s="11" t="n">
        <v>280000000</v>
      </c>
      <c r="F166" s="8" t="n">
        <v>14892000000</v>
      </c>
      <c r="G166" s="6" t="inlineStr">
        <is>
          <t>Digital loan collections</t>
        </is>
      </c>
    </row>
    <row r="167" ht="16" customHeight="1">
      <c r="A167" s="9" t="n">
        <v>45102</v>
      </c>
      <c r="B167" s="10" t="inlineStr">
        <is>
          <t>VENDOR PAYMENT-COLLECTIONS OUTSOURCING</t>
        </is>
      </c>
      <c r="C167" s="10" t="inlineStr">
        <is>
          <t>NEFT</t>
        </is>
      </c>
      <c r="D167" s="13" t="n">
        <v>35000000</v>
      </c>
      <c r="E167" s="7" t="inlineStr"/>
      <c r="F167" s="12" t="n">
        <v>14857000000</v>
      </c>
      <c r="G167" s="10" t="inlineStr">
        <is>
          <t>Collections agency fees</t>
        </is>
      </c>
    </row>
    <row r="168" ht="16" customHeight="1">
      <c r="A168" s="5" t="n">
        <v>45105</v>
      </c>
      <c r="B168" s="6" t="inlineStr">
        <is>
          <t>NEFT-EMI COLLECTIONS-TWO WHEELER JUN</t>
        </is>
      </c>
      <c r="C168" s="6" t="inlineStr">
        <is>
          <t>NEFT</t>
        </is>
      </c>
      <c r="D168" s="7" t="inlineStr"/>
      <c r="E168" s="11" t="n">
        <v>570000000</v>
      </c>
      <c r="F168" s="8" t="n">
        <v>15427000000</v>
      </c>
      <c r="G168" s="6" t="inlineStr">
        <is>
          <t>Two wheeler collections</t>
        </is>
      </c>
    </row>
    <row r="169" ht="16" customHeight="1">
      <c r="A169" s="9" t="n">
        <v>45107</v>
      </c>
      <c r="B169" s="10" t="inlineStr">
        <is>
          <t>INTEREST PAYMENT-NCD DEBENTURE HOLDERS</t>
        </is>
      </c>
      <c r="C169" s="10" t="inlineStr">
        <is>
          <t>NEFT</t>
        </is>
      </c>
      <c r="D169" s="13" t="n">
        <v>360000000</v>
      </c>
      <c r="E169" s="7" t="inlineStr"/>
      <c r="F169" s="12" t="n">
        <v>15067000000</v>
      </c>
      <c r="G169" s="10" t="inlineStr">
        <is>
          <t>NCD interest payment</t>
        </is>
      </c>
    </row>
    <row r="170" ht="16" customHeight="1">
      <c r="A170" s="5" t="n">
        <v>45111</v>
      </c>
      <c r="B170" s="6" t="inlineStr">
        <is>
          <t>NEFT-EMI COLLECTIONS-CONSUMER DURABLES JUL</t>
        </is>
      </c>
      <c r="C170" s="6" t="inlineStr">
        <is>
          <t>NEFT</t>
        </is>
      </c>
      <c r="D170" s="7" t="inlineStr"/>
      <c r="E170" s="11" t="n">
        <v>1100000000</v>
      </c>
      <c r="F170" s="8" t="n">
        <v>16167000000</v>
      </c>
      <c r="G170" s="6" t="inlineStr">
        <is>
          <t>Consumer loan collections</t>
        </is>
      </c>
    </row>
    <row r="171" ht="16" customHeight="1">
      <c r="A171" s="9" t="n">
        <v>45112</v>
      </c>
      <c r="B171" s="10" t="inlineStr">
        <is>
          <t>GST PAYMENT-JUN 2023</t>
        </is>
      </c>
      <c r="C171" s="10" t="inlineStr">
        <is>
          <t>NEFT</t>
        </is>
      </c>
      <c r="D171" s="13" t="n">
        <v>55000000</v>
      </c>
      <c r="E171" s="7" t="inlineStr"/>
      <c r="F171" s="12" t="n">
        <v>16112000000</v>
      </c>
      <c r="G171" s="10" t="inlineStr">
        <is>
          <t>GST Jun-23 payment</t>
        </is>
      </c>
    </row>
    <row r="172" ht="16" customHeight="1">
      <c r="A172" s="5" t="n">
        <v>45115</v>
      </c>
      <c r="B172" s="6" t="inlineStr">
        <is>
          <t>RTGS-EMI COLLECTIONS-HOME LOANS JUL</t>
        </is>
      </c>
      <c r="C172" s="6" t="inlineStr">
        <is>
          <t>RTGS</t>
        </is>
      </c>
      <c r="D172" s="7" t="inlineStr"/>
      <c r="E172" s="11" t="n">
        <v>840000000</v>
      </c>
      <c r="F172" s="8" t="n">
        <v>16952000000</v>
      </c>
      <c r="G172" s="6" t="inlineStr">
        <is>
          <t>Home loan collections</t>
        </is>
      </c>
    </row>
    <row r="173" ht="16" customHeight="1">
      <c r="A173" s="9" t="n">
        <v>45117</v>
      </c>
      <c r="B173" s="10" t="inlineStr">
        <is>
          <t>SALARY TRANSFER-JUL 2023</t>
        </is>
      </c>
      <c r="C173" s="10" t="inlineStr">
        <is>
          <t>NEFT</t>
        </is>
      </c>
      <c r="D173" s="13" t="n">
        <v>575000000</v>
      </c>
      <c r="E173" s="7" t="inlineStr"/>
      <c r="F173" s="12" t="n">
        <v>16377000000</v>
      </c>
      <c r="G173" s="10" t="inlineStr">
        <is>
          <t>Monthly salary</t>
        </is>
      </c>
    </row>
    <row r="174" ht="16" customHeight="1">
      <c r="A174" s="5" t="n">
        <v>45119</v>
      </c>
      <c r="B174" s="6" t="inlineStr">
        <is>
          <t>LOAN DISBURSEMENT-SME LOAN BATCH JUL</t>
        </is>
      </c>
      <c r="C174" s="6" t="inlineStr">
        <is>
          <t>NEFT</t>
        </is>
      </c>
      <c r="D174" s="13" t="n">
        <v>1200000000</v>
      </c>
      <c r="E174" s="7" t="inlineStr"/>
      <c r="F174" s="8" t="n">
        <v>15177000000</v>
      </c>
      <c r="G174" s="6" t="inlineStr">
        <is>
          <t>SME loan disbursements</t>
        </is>
      </c>
    </row>
    <row r="175" ht="16" customHeight="1">
      <c r="A175" s="9" t="n">
        <v>45122</v>
      </c>
      <c r="B175" s="10" t="inlineStr">
        <is>
          <t>NEFT-EMI COLLECTIONS-RURAL FINANCE JUL</t>
        </is>
      </c>
      <c r="C175" s="10" t="inlineStr">
        <is>
          <t>NEFT</t>
        </is>
      </c>
      <c r="D175" s="7" t="inlineStr"/>
      <c r="E175" s="11" t="n">
        <v>420000000</v>
      </c>
      <c r="F175" s="12" t="n">
        <v>15597000000</v>
      </c>
      <c r="G175" s="10" t="inlineStr">
        <is>
          <t>Rural finance collections</t>
        </is>
      </c>
    </row>
    <row r="176" ht="16" customHeight="1">
      <c r="A176" s="5" t="n">
        <v>45127</v>
      </c>
      <c r="B176" s="6" t="inlineStr">
        <is>
          <t>RTGS-EMI COLLECTIONS-CORPORATE JUL</t>
        </is>
      </c>
      <c r="C176" s="6" t="inlineStr">
        <is>
          <t>RTGS</t>
        </is>
      </c>
      <c r="D176" s="7" t="inlineStr"/>
      <c r="E176" s="11" t="n">
        <v>980000000</v>
      </c>
      <c r="F176" s="8" t="n">
        <v>16577000000</v>
      </c>
      <c r="G176" s="6" t="inlineStr">
        <is>
          <t>Corporate loan collections</t>
        </is>
      </c>
    </row>
    <row r="177" ht="16" customHeight="1">
      <c r="A177" s="9" t="n">
        <v>45132</v>
      </c>
      <c r="B177" s="10" t="inlineStr">
        <is>
          <t>RENT+UTILITIES ALL OFFICES JUL 2023</t>
        </is>
      </c>
      <c r="C177" s="10" t="inlineStr">
        <is>
          <t>NEFT</t>
        </is>
      </c>
      <c r="D177" s="13" t="n">
        <v>25000000</v>
      </c>
      <c r="E177" s="7" t="inlineStr"/>
      <c r="F177" s="12" t="n">
        <v>16552000000</v>
      </c>
      <c r="G177" s="10" t="inlineStr">
        <is>
          <t>Rent and utilities</t>
        </is>
      </c>
    </row>
    <row r="178" ht="16" customHeight="1">
      <c r="A178" s="5" t="n">
        <v>45135</v>
      </c>
      <c r="B178" s="6" t="inlineStr">
        <is>
          <t>NEFT-EMI COLLECTIONS-TWO WHEELER JUL</t>
        </is>
      </c>
      <c r="C178" s="6" t="inlineStr">
        <is>
          <t>NEFT</t>
        </is>
      </c>
      <c r="D178" s="7" t="inlineStr"/>
      <c r="E178" s="11" t="n">
        <v>590000000</v>
      </c>
      <c r="F178" s="8" t="n">
        <v>17142000000</v>
      </c>
      <c r="G178" s="6" t="inlineStr">
        <is>
          <t>Two wheeler collections</t>
        </is>
      </c>
    </row>
    <row r="179" ht="16" customHeight="1">
      <c r="A179" s="9" t="n">
        <v>45138</v>
      </c>
      <c r="B179" s="10" t="inlineStr">
        <is>
          <t>INTEREST PAYMENT-NCD DEBENTURE HOLDERS</t>
        </is>
      </c>
      <c r="C179" s="10" t="inlineStr">
        <is>
          <t>NEFT</t>
        </is>
      </c>
      <c r="D179" s="13" t="n">
        <v>360000000</v>
      </c>
      <c r="E179" s="7" t="inlineStr"/>
      <c r="F179" s="12" t="n">
        <v>16782000000</v>
      </c>
      <c r="G179" s="10" t="inlineStr">
        <is>
          <t>NCD interest payment</t>
        </is>
      </c>
    </row>
    <row r="180" ht="16" customHeight="1">
      <c r="A180" s="5" t="n">
        <v>45141</v>
      </c>
      <c r="B180" s="6" t="inlineStr">
        <is>
          <t>NEFT-EMI COLLECTIONS-CONSUMER DURABLES AUG</t>
        </is>
      </c>
      <c r="C180" s="6" t="inlineStr">
        <is>
          <t>NEFT</t>
        </is>
      </c>
      <c r="D180" s="7" t="inlineStr"/>
      <c r="E180" s="11" t="n">
        <v>1090000000</v>
      </c>
      <c r="F180" s="8" t="n">
        <v>17872000000</v>
      </c>
      <c r="G180" s="6" t="inlineStr">
        <is>
          <t>Consumer loan collections</t>
        </is>
      </c>
    </row>
    <row r="181" ht="16" customHeight="1">
      <c r="A181" s="9" t="n">
        <v>45143</v>
      </c>
      <c r="B181" s="10" t="inlineStr">
        <is>
          <t>GST PAYMENT-JUL 2023</t>
        </is>
      </c>
      <c r="C181" s="10" t="inlineStr">
        <is>
          <t>NEFT</t>
        </is>
      </c>
      <c r="D181" s="13" t="n">
        <v>54500000</v>
      </c>
      <c r="E181" s="7" t="inlineStr"/>
      <c r="F181" s="12" t="n">
        <v>17817500000</v>
      </c>
      <c r="G181" s="10" t="inlineStr">
        <is>
          <t>GST Jul-23 payment</t>
        </is>
      </c>
    </row>
    <row r="182" ht="16" customHeight="1">
      <c r="A182" s="5" t="n">
        <v>45146</v>
      </c>
      <c r="B182" s="6" t="inlineStr">
        <is>
          <t>RTGS-EMI COLLECTIONS-HOME LOANS AUG</t>
        </is>
      </c>
      <c r="C182" s="6" t="inlineStr">
        <is>
          <t>RTGS</t>
        </is>
      </c>
      <c r="D182" s="7" t="inlineStr"/>
      <c r="E182" s="11" t="n">
        <v>860000000</v>
      </c>
      <c r="F182" s="8" t="n">
        <v>18677500000</v>
      </c>
      <c r="G182" s="6" t="inlineStr">
        <is>
          <t>Home loan collections</t>
        </is>
      </c>
    </row>
    <row r="183" ht="16" customHeight="1">
      <c r="A183" s="9" t="n">
        <v>45148</v>
      </c>
      <c r="B183" s="10" t="inlineStr">
        <is>
          <t>SALARY TRANSFER-AUG 2023</t>
        </is>
      </c>
      <c r="C183" s="10" t="inlineStr">
        <is>
          <t>NEFT</t>
        </is>
      </c>
      <c r="D183" s="13" t="n">
        <v>580000000</v>
      </c>
      <c r="E183" s="7" t="inlineStr"/>
      <c r="F183" s="12" t="n">
        <v>18097500000</v>
      </c>
      <c r="G183" s="10" t="inlineStr">
        <is>
          <t>Monthly salary</t>
        </is>
      </c>
    </row>
    <row r="184" ht="16" customHeight="1">
      <c r="A184" s="5" t="n">
        <v>45150</v>
      </c>
      <c r="B184" s="6" t="inlineStr">
        <is>
          <t>LOAN DISBURSEMENT-PERSONAL LOAN BATCH AUG</t>
        </is>
      </c>
      <c r="C184" s="6" t="inlineStr">
        <is>
          <t>NEFT</t>
        </is>
      </c>
      <c r="D184" s="13" t="n">
        <v>1520000000</v>
      </c>
      <c r="E184" s="7" t="inlineStr"/>
      <c r="F184" s="8" t="n">
        <v>16577500000</v>
      </c>
      <c r="G184" s="6" t="inlineStr">
        <is>
          <t>Personal loan disbursements</t>
        </is>
      </c>
    </row>
    <row r="185" ht="16" customHeight="1">
      <c r="A185" s="9" t="n">
        <v>45153</v>
      </c>
      <c r="B185" s="10" t="inlineStr">
        <is>
          <t>NEFT-EMI COLLECTIONS-SME LOANS AUG</t>
        </is>
      </c>
      <c r="C185" s="10" t="inlineStr">
        <is>
          <t>NEFT</t>
        </is>
      </c>
      <c r="D185" s="7" t="inlineStr"/>
      <c r="E185" s="11" t="n">
        <v>550000000</v>
      </c>
      <c r="F185" s="12" t="n">
        <v>17127500000</v>
      </c>
      <c r="G185" s="10" t="inlineStr">
        <is>
          <t>SME loan collections</t>
        </is>
      </c>
    </row>
    <row r="186" ht="16" customHeight="1">
      <c r="A186" s="5" t="n">
        <v>45158</v>
      </c>
      <c r="B186" s="6" t="inlineStr">
        <is>
          <t>RTGS-EMI COLLECTIONS-DIGITAL LOANS AUG</t>
        </is>
      </c>
      <c r="C186" s="6" t="inlineStr">
        <is>
          <t>RTGS</t>
        </is>
      </c>
      <c r="D186" s="7" t="inlineStr"/>
      <c r="E186" s="11" t="n">
        <v>300000000</v>
      </c>
      <c r="F186" s="8" t="n">
        <v>17427500000</v>
      </c>
      <c r="G186" s="6" t="inlineStr">
        <is>
          <t>Digital loan collections</t>
        </is>
      </c>
    </row>
    <row r="187" ht="16" customHeight="1">
      <c r="A187" s="9" t="n">
        <v>45163</v>
      </c>
      <c r="B187" s="10" t="inlineStr">
        <is>
          <t>VENDOR PAYMENT-BRANCH EXPANSION CAPEX</t>
        </is>
      </c>
      <c r="C187" s="10" t="inlineStr">
        <is>
          <t>NEFT</t>
        </is>
      </c>
      <c r="D187" s="13" t="n">
        <v>180000000</v>
      </c>
      <c r="E187" s="7" t="inlineStr"/>
      <c r="F187" s="12" t="n">
        <v>17247500000</v>
      </c>
      <c r="G187" s="10" t="inlineStr">
        <is>
          <t>Branch expansion</t>
        </is>
      </c>
    </row>
    <row r="188" ht="16" customHeight="1">
      <c r="A188" s="5" t="n">
        <v>45166</v>
      </c>
      <c r="B188" s="6" t="inlineStr">
        <is>
          <t>NEFT-EMI COLLECTIONS-RURAL FINANCE AUG</t>
        </is>
      </c>
      <c r="C188" s="6" t="inlineStr">
        <is>
          <t>NEFT</t>
        </is>
      </c>
      <c r="D188" s="7" t="inlineStr"/>
      <c r="E188" s="11" t="n">
        <v>440000000</v>
      </c>
      <c r="F188" s="8" t="n">
        <v>17687500000</v>
      </c>
      <c r="G188" s="6" t="inlineStr">
        <is>
          <t>Rural finance collections</t>
        </is>
      </c>
    </row>
    <row r="189" ht="16" customHeight="1">
      <c r="A189" s="9" t="n">
        <v>45169</v>
      </c>
      <c r="B189" s="10" t="inlineStr">
        <is>
          <t>INTEREST PAYMENT-NCD DEBENTURE HOLDERS</t>
        </is>
      </c>
      <c r="C189" s="10" t="inlineStr">
        <is>
          <t>NEFT</t>
        </is>
      </c>
      <c r="D189" s="13" t="n">
        <v>360000000</v>
      </c>
      <c r="E189" s="7" t="inlineStr"/>
      <c r="F189" s="12" t="n">
        <v>17327500000</v>
      </c>
      <c r="G189" s="10" t="inlineStr">
        <is>
          <t>NCD interest payment</t>
        </is>
      </c>
    </row>
    <row r="190" ht="16" customHeight="1">
      <c r="A190" s="5" t="n">
        <v>45173</v>
      </c>
      <c r="B190" s="6" t="inlineStr">
        <is>
          <t>NEFT-EMI COLLECTIONS-CONSUMER DURABLES SEP</t>
        </is>
      </c>
      <c r="C190" s="6" t="inlineStr">
        <is>
          <t>NEFT</t>
        </is>
      </c>
      <c r="D190" s="7" t="inlineStr"/>
      <c r="E190" s="11" t="n">
        <v>1120000000</v>
      </c>
      <c r="F190" s="8" t="n">
        <v>18447500000</v>
      </c>
      <c r="G190" s="6" t="inlineStr">
        <is>
          <t>Consumer loan collections</t>
        </is>
      </c>
    </row>
    <row r="191" ht="16" customHeight="1">
      <c r="A191" s="9" t="n">
        <v>45174</v>
      </c>
      <c r="B191" s="10" t="inlineStr">
        <is>
          <t>GST PAYMENT-AUG 2023</t>
        </is>
      </c>
      <c r="C191" s="10" t="inlineStr">
        <is>
          <t>NEFT</t>
        </is>
      </c>
      <c r="D191" s="13" t="n">
        <v>55500000</v>
      </c>
      <c r="E191" s="7" t="inlineStr"/>
      <c r="F191" s="12" t="n">
        <v>18392000000</v>
      </c>
      <c r="G191" s="10" t="inlineStr">
        <is>
          <t>GST Aug-23 payment</t>
        </is>
      </c>
    </row>
    <row r="192" ht="16" customHeight="1">
      <c r="A192" s="5" t="n">
        <v>45177</v>
      </c>
      <c r="B192" s="6" t="inlineStr">
        <is>
          <t>RTGS-EMI COLLECTIONS-HOME LOANS SEP</t>
        </is>
      </c>
      <c r="C192" s="6" t="inlineStr">
        <is>
          <t>RTGS</t>
        </is>
      </c>
      <c r="D192" s="7" t="inlineStr"/>
      <c r="E192" s="11" t="n">
        <v>880000000</v>
      </c>
      <c r="F192" s="8" t="n">
        <v>19272000000</v>
      </c>
      <c r="G192" s="6" t="inlineStr">
        <is>
          <t>Home loan collections</t>
        </is>
      </c>
    </row>
    <row r="193" ht="16" customHeight="1">
      <c r="A193" s="9" t="n">
        <v>45179</v>
      </c>
      <c r="B193" s="10" t="inlineStr">
        <is>
          <t>SALARY TRANSFER-SEP 2023</t>
        </is>
      </c>
      <c r="C193" s="10" t="inlineStr">
        <is>
          <t>NEFT</t>
        </is>
      </c>
      <c r="D193" s="13" t="n">
        <v>585000000</v>
      </c>
      <c r="E193" s="7" t="inlineStr"/>
      <c r="F193" s="12" t="n">
        <v>18687000000</v>
      </c>
      <c r="G193" s="10" t="inlineStr">
        <is>
          <t>Monthly salary</t>
        </is>
      </c>
    </row>
    <row r="194" ht="16" customHeight="1">
      <c r="A194" s="5" t="n">
        <v>45181</v>
      </c>
      <c r="B194" s="6" t="inlineStr">
        <is>
          <t>LOAN DISBURSEMENT-SME LOAN BATCH SEP</t>
        </is>
      </c>
      <c r="C194" s="6" t="inlineStr">
        <is>
          <t>NEFT</t>
        </is>
      </c>
      <c r="D194" s="13" t="n">
        <v>1250000000</v>
      </c>
      <c r="E194" s="7" t="inlineStr"/>
      <c r="F194" s="8" t="n">
        <v>17437000000</v>
      </c>
      <c r="G194" s="6" t="inlineStr">
        <is>
          <t>SME loan disbursements</t>
        </is>
      </c>
    </row>
    <row r="195" ht="16" customHeight="1">
      <c r="A195" s="9" t="n">
        <v>45184</v>
      </c>
      <c r="B195" s="10" t="inlineStr">
        <is>
          <t>NEFT-EMI COLLECTIONS-TWO WHEELER SEP</t>
        </is>
      </c>
      <c r="C195" s="10" t="inlineStr">
        <is>
          <t>NEFT</t>
        </is>
      </c>
      <c r="D195" s="7" t="inlineStr"/>
      <c r="E195" s="11" t="n">
        <v>610000000</v>
      </c>
      <c r="F195" s="12" t="n">
        <v>18047000000</v>
      </c>
      <c r="G195" s="10" t="inlineStr">
        <is>
          <t>Two wheeler collections</t>
        </is>
      </c>
    </row>
    <row r="196" ht="16" customHeight="1">
      <c r="A196" s="5" t="n">
        <v>45189</v>
      </c>
      <c r="B196" s="6" t="inlineStr">
        <is>
          <t>RTGS-EMI COLLECTIONS-CORPORATE SEP</t>
        </is>
      </c>
      <c r="C196" s="6" t="inlineStr">
        <is>
          <t>RTGS</t>
        </is>
      </c>
      <c r="D196" s="7" t="inlineStr"/>
      <c r="E196" s="11" t="n">
        <v>1020000000</v>
      </c>
      <c r="F196" s="8" t="n">
        <v>19067000000</v>
      </c>
      <c r="G196" s="6" t="inlineStr">
        <is>
          <t>Corporate loan collections</t>
        </is>
      </c>
    </row>
    <row r="197" ht="16" customHeight="1">
      <c r="A197" s="9" t="n">
        <v>45194</v>
      </c>
      <c r="B197" s="10" t="inlineStr">
        <is>
          <t>ADVANCE TAX PAYMENT-Q2 FY24</t>
        </is>
      </c>
      <c r="C197" s="10" t="inlineStr">
        <is>
          <t>NEFT</t>
        </is>
      </c>
      <c r="D197" s="13" t="n">
        <v>580000000</v>
      </c>
      <c r="E197" s="7" t="inlineStr"/>
      <c r="F197" s="12" t="n">
        <v>18487000000</v>
      </c>
      <c r="G197" s="10" t="inlineStr">
        <is>
          <t>Advance tax Q2 FY24</t>
        </is>
      </c>
    </row>
    <row r="198" ht="16" customHeight="1">
      <c r="A198" s="5" t="n">
        <v>45197</v>
      </c>
      <c r="B198" s="6" t="inlineStr">
        <is>
          <t>NEFT-EMI COLLECTIONS-RURAL FINANCE SEP</t>
        </is>
      </c>
      <c r="C198" s="6" t="inlineStr">
        <is>
          <t>NEFT</t>
        </is>
      </c>
      <c r="D198" s="7" t="inlineStr"/>
      <c r="E198" s="11" t="n">
        <v>460000000</v>
      </c>
      <c r="F198" s="8" t="n">
        <v>18947000000</v>
      </c>
      <c r="G198" s="6" t="inlineStr">
        <is>
          <t>Rural finance collections</t>
        </is>
      </c>
    </row>
    <row r="199" ht="16" customHeight="1">
      <c r="A199" s="9" t="n">
        <v>45199</v>
      </c>
      <c r="B199" s="10" t="inlineStr">
        <is>
          <t>INTEREST PAYMENT-NCD DEBENTURE HOLDERS</t>
        </is>
      </c>
      <c r="C199" s="10" t="inlineStr">
        <is>
          <t>NEFT</t>
        </is>
      </c>
      <c r="D199" s="13" t="n">
        <v>360000000</v>
      </c>
      <c r="E199" s="7" t="inlineStr"/>
      <c r="F199" s="12" t="n">
        <v>18587000000</v>
      </c>
      <c r="G199" s="10" t="inlineStr">
        <is>
          <t>NCD interest payment</t>
        </is>
      </c>
    </row>
    <row r="200" ht="16" customHeight="1">
      <c r="A200" s="5" t="n">
        <v>45203</v>
      </c>
      <c r="B200" s="6" t="inlineStr">
        <is>
          <t>NEFT-EMI COLLECTIONS-CONSUMER DURABLES OCT</t>
        </is>
      </c>
      <c r="C200" s="6" t="inlineStr">
        <is>
          <t>NEFT</t>
        </is>
      </c>
      <c r="D200" s="7" t="inlineStr"/>
      <c r="E200" s="11" t="n">
        <v>1140000000</v>
      </c>
      <c r="F200" s="8" t="n">
        <v>19727000000</v>
      </c>
      <c r="G200" s="6" t="inlineStr">
        <is>
          <t>Consumer loan collections</t>
        </is>
      </c>
    </row>
    <row r="201" ht="16" customHeight="1">
      <c r="A201" s="9" t="n">
        <v>45204</v>
      </c>
      <c r="B201" s="10" t="inlineStr">
        <is>
          <t>GST PAYMENT-SEP 2023</t>
        </is>
      </c>
      <c r="C201" s="10" t="inlineStr">
        <is>
          <t>NEFT</t>
        </is>
      </c>
      <c r="D201" s="13" t="n">
        <v>56000000</v>
      </c>
      <c r="E201" s="7" t="inlineStr"/>
      <c r="F201" s="12" t="n">
        <v>19671000000</v>
      </c>
      <c r="G201" s="10" t="inlineStr">
        <is>
          <t>GST Sep-23 payment</t>
        </is>
      </c>
    </row>
    <row r="202" ht="16" customHeight="1">
      <c r="A202" s="5" t="n">
        <v>45207</v>
      </c>
      <c r="B202" s="6" t="inlineStr">
        <is>
          <t>RTGS-EMI COLLECTIONS-HOME LOANS OCT</t>
        </is>
      </c>
      <c r="C202" s="6" t="inlineStr">
        <is>
          <t>RTGS</t>
        </is>
      </c>
      <c r="D202" s="7" t="inlineStr"/>
      <c r="E202" s="11" t="n">
        <v>900000000</v>
      </c>
      <c r="F202" s="8" t="n">
        <v>20571000000</v>
      </c>
      <c r="G202" s="6" t="inlineStr">
        <is>
          <t>Home loan collections</t>
        </is>
      </c>
    </row>
    <row r="203" ht="16" customHeight="1">
      <c r="A203" s="9" t="n">
        <v>45209</v>
      </c>
      <c r="B203" s="10" t="inlineStr">
        <is>
          <t>SALARY TRANSFER-OCT 2023</t>
        </is>
      </c>
      <c r="C203" s="10" t="inlineStr">
        <is>
          <t>NEFT</t>
        </is>
      </c>
      <c r="D203" s="13" t="n">
        <v>590000000</v>
      </c>
      <c r="E203" s="7" t="inlineStr"/>
      <c r="F203" s="12" t="n">
        <v>19981000000</v>
      </c>
      <c r="G203" s="10" t="inlineStr">
        <is>
          <t>Monthly salary</t>
        </is>
      </c>
    </row>
    <row r="204" ht="16" customHeight="1">
      <c r="A204" s="5" t="n">
        <v>45211</v>
      </c>
      <c r="B204" s="6" t="inlineStr">
        <is>
          <t>LOAN DISBURSEMENT-FESTIVE SEASON BATCH OCT</t>
        </is>
      </c>
      <c r="C204" s="6" t="inlineStr">
        <is>
          <t>NEFT</t>
        </is>
      </c>
      <c r="D204" s="13" t="n">
        <v>1800000000</v>
      </c>
      <c r="E204" s="7" t="inlineStr"/>
      <c r="F204" s="8" t="n">
        <v>18181000000</v>
      </c>
      <c r="G204" s="6" t="inlineStr">
        <is>
          <t>Festive season disbursements</t>
        </is>
      </c>
    </row>
    <row r="205" ht="16" customHeight="1">
      <c r="A205" s="9" t="n">
        <v>45214</v>
      </c>
      <c r="B205" s="10" t="inlineStr">
        <is>
          <t>NEFT-EMI COLLECTIONS-SME LOANS OCT</t>
        </is>
      </c>
      <c r="C205" s="10" t="inlineStr">
        <is>
          <t>NEFT</t>
        </is>
      </c>
      <c r="D205" s="7" t="inlineStr"/>
      <c r="E205" s="11" t="n">
        <v>570000000</v>
      </c>
      <c r="F205" s="12" t="n">
        <v>18751000000</v>
      </c>
      <c r="G205" s="10" t="inlineStr">
        <is>
          <t>SME loan collections</t>
        </is>
      </c>
    </row>
    <row r="206" ht="16" customHeight="1">
      <c r="A206" s="5" t="n">
        <v>45219</v>
      </c>
      <c r="B206" s="6" t="inlineStr">
        <is>
          <t>RTGS-EMI COLLECTIONS-DIGITAL LOANS OCT</t>
        </is>
      </c>
      <c r="C206" s="6" t="inlineStr">
        <is>
          <t>RTGS</t>
        </is>
      </c>
      <c r="D206" s="7" t="inlineStr"/>
      <c r="E206" s="11" t="n">
        <v>320000000</v>
      </c>
      <c r="F206" s="8" t="n">
        <v>19071000000</v>
      </c>
      <c r="G206" s="6" t="inlineStr">
        <is>
          <t>Digital loan collections</t>
        </is>
      </c>
    </row>
    <row r="207" ht="16" customHeight="1">
      <c r="A207" s="9" t="n">
        <v>45224</v>
      </c>
      <c r="B207" s="10" t="inlineStr">
        <is>
          <t>RENT+UTILITIES ALL OFFICES OCT 2023</t>
        </is>
      </c>
      <c r="C207" s="10" t="inlineStr">
        <is>
          <t>NEFT</t>
        </is>
      </c>
      <c r="D207" s="13" t="n">
        <v>25000000</v>
      </c>
      <c r="E207" s="7" t="inlineStr"/>
      <c r="F207" s="12" t="n">
        <v>19046000000</v>
      </c>
      <c r="G207" s="10" t="inlineStr">
        <is>
          <t>Rent and utilities</t>
        </is>
      </c>
    </row>
    <row r="208" ht="16" customHeight="1">
      <c r="A208" s="5" t="n">
        <v>45227</v>
      </c>
      <c r="B208" s="6" t="inlineStr">
        <is>
          <t>NEFT-EMI COLLECTIONS-TWO WHEELER OCT</t>
        </is>
      </c>
      <c r="C208" s="6" t="inlineStr">
        <is>
          <t>NEFT</t>
        </is>
      </c>
      <c r="D208" s="7" t="inlineStr"/>
      <c r="E208" s="11" t="n">
        <v>630000000</v>
      </c>
      <c r="F208" s="8" t="n">
        <v>19676000000</v>
      </c>
      <c r="G208" s="6" t="inlineStr">
        <is>
          <t>Two wheeler collections</t>
        </is>
      </c>
    </row>
    <row r="209" ht="16" customHeight="1">
      <c r="A209" s="9" t="n">
        <v>45230</v>
      </c>
      <c r="B209" s="10" t="inlineStr">
        <is>
          <t>INTEREST PAYMENT-NCD DEBENTURE HOLDERS</t>
        </is>
      </c>
      <c r="C209" s="10" t="inlineStr">
        <is>
          <t>NEFT</t>
        </is>
      </c>
      <c r="D209" s="13" t="n">
        <v>360000000</v>
      </c>
      <c r="E209" s="7" t="inlineStr"/>
      <c r="F209" s="12" t="n">
        <v>19316000000</v>
      </c>
      <c r="G209" s="10" t="inlineStr">
        <is>
          <t>NCD interest payment</t>
        </is>
      </c>
    </row>
    <row r="210" ht="16" customHeight="1">
      <c r="A210" s="5" t="n">
        <v>45233</v>
      </c>
      <c r="B210" s="6" t="inlineStr">
        <is>
          <t>NEFT-EMI COLLECTIONS-CONSUMER DURABLES NOV</t>
        </is>
      </c>
      <c r="C210" s="6" t="inlineStr">
        <is>
          <t>NEFT</t>
        </is>
      </c>
      <c r="D210" s="7" t="inlineStr"/>
      <c r="E210" s="11" t="n">
        <v>1160000000</v>
      </c>
      <c r="F210" s="8" t="n">
        <v>20476000000</v>
      </c>
      <c r="G210" s="6" t="inlineStr">
        <is>
          <t>Consumer loan collections</t>
        </is>
      </c>
    </row>
    <row r="211" ht="16" customHeight="1">
      <c r="A211" s="9" t="n">
        <v>45235</v>
      </c>
      <c r="B211" s="10" t="inlineStr">
        <is>
          <t>GST PAYMENT-OCT 2023</t>
        </is>
      </c>
      <c r="C211" s="10" t="inlineStr">
        <is>
          <t>NEFT</t>
        </is>
      </c>
      <c r="D211" s="13" t="n">
        <v>57000000</v>
      </c>
      <c r="E211" s="7" t="inlineStr"/>
      <c r="F211" s="12" t="n">
        <v>20419000000</v>
      </c>
      <c r="G211" s="10" t="inlineStr">
        <is>
          <t>GST Oct-23 payment</t>
        </is>
      </c>
    </row>
    <row r="212" ht="16" customHeight="1">
      <c r="A212" s="5" t="n">
        <v>45238</v>
      </c>
      <c r="B212" s="6" t="inlineStr">
        <is>
          <t>RTGS-EMI COLLECTIONS-HOME LOANS NOV</t>
        </is>
      </c>
      <c r="C212" s="6" t="inlineStr">
        <is>
          <t>RTGS</t>
        </is>
      </c>
      <c r="D212" s="7" t="inlineStr"/>
      <c r="E212" s="11" t="n">
        <v>920000000</v>
      </c>
      <c r="F212" s="8" t="n">
        <v>21339000000</v>
      </c>
      <c r="G212" s="6" t="inlineStr">
        <is>
          <t>Home loan collections</t>
        </is>
      </c>
    </row>
    <row r="213" ht="16" customHeight="1">
      <c r="A213" s="9" t="n">
        <v>45240</v>
      </c>
      <c r="B213" s="10" t="inlineStr">
        <is>
          <t>SALARY TRANSFER-NOV 2023</t>
        </is>
      </c>
      <c r="C213" s="10" t="inlineStr">
        <is>
          <t>NEFT</t>
        </is>
      </c>
      <c r="D213" s="13" t="n">
        <v>595000000</v>
      </c>
      <c r="E213" s="7" t="inlineStr"/>
      <c r="F213" s="12" t="n">
        <v>20744000000</v>
      </c>
      <c r="G213" s="10" t="inlineStr">
        <is>
          <t>Monthly salary</t>
        </is>
      </c>
    </row>
    <row r="214" ht="16" customHeight="1">
      <c r="A214" s="5" t="n">
        <v>45242</v>
      </c>
      <c r="B214" s="6" t="inlineStr">
        <is>
          <t>LOAN DISBURSEMENT-PERSONAL LOAN BATCH NOV</t>
        </is>
      </c>
      <c r="C214" s="6" t="inlineStr">
        <is>
          <t>NEFT</t>
        </is>
      </c>
      <c r="D214" s="13" t="n">
        <v>1550000000</v>
      </c>
      <c r="E214" s="7" t="inlineStr"/>
      <c r="F214" s="8" t="n">
        <v>19194000000</v>
      </c>
      <c r="G214" s="6" t="inlineStr">
        <is>
          <t>Personal loan disbursements</t>
        </is>
      </c>
    </row>
    <row r="215" ht="16" customHeight="1">
      <c r="A215" s="9" t="n">
        <v>45245</v>
      </c>
      <c r="B215" s="10" t="inlineStr">
        <is>
          <t>NEFT-EMI COLLECTIONS-RURAL FINANCE NOV</t>
        </is>
      </c>
      <c r="C215" s="10" t="inlineStr">
        <is>
          <t>NEFT</t>
        </is>
      </c>
      <c r="D215" s="7" t="inlineStr"/>
      <c r="E215" s="11" t="n">
        <v>480000000</v>
      </c>
      <c r="F215" s="12" t="n">
        <v>19674000000</v>
      </c>
      <c r="G215" s="10" t="inlineStr">
        <is>
          <t>Rural finance collections</t>
        </is>
      </c>
    </row>
    <row r="216" ht="16" customHeight="1">
      <c r="A216" s="5" t="n">
        <v>45250</v>
      </c>
      <c r="B216" s="6" t="inlineStr">
        <is>
          <t>RTGS-EMI COLLECTIONS-CORPORATE NOV</t>
        </is>
      </c>
      <c r="C216" s="6" t="inlineStr">
        <is>
          <t>RTGS</t>
        </is>
      </c>
      <c r="D216" s="7" t="inlineStr"/>
      <c r="E216" s="11" t="n">
        <v>1050000000</v>
      </c>
      <c r="F216" s="8" t="n">
        <v>20724000000</v>
      </c>
      <c r="G216" s="6" t="inlineStr">
        <is>
          <t>Corporate loan collections</t>
        </is>
      </c>
    </row>
    <row r="217" ht="16" customHeight="1">
      <c r="A217" s="9" t="n">
        <v>45255</v>
      </c>
      <c r="B217" s="10" t="inlineStr">
        <is>
          <t>VENDOR PAYMENT-MARKETING &amp; ADVERTISING</t>
        </is>
      </c>
      <c r="C217" s="10" t="inlineStr">
        <is>
          <t>NEFT</t>
        </is>
      </c>
      <c r="D217" s="13" t="n">
        <v>42000000</v>
      </c>
      <c r="E217" s="7" t="inlineStr"/>
      <c r="F217" s="12" t="n">
        <v>20682000000</v>
      </c>
      <c r="G217" s="10" t="inlineStr">
        <is>
          <t>Marketing expenses</t>
        </is>
      </c>
    </row>
    <row r="218" ht="16" customHeight="1">
      <c r="A218" s="5" t="n">
        <v>45258</v>
      </c>
      <c r="B218" s="6" t="inlineStr">
        <is>
          <t>NEFT-EMI COLLECTIONS-TWO WHEELER NOV</t>
        </is>
      </c>
      <c r="C218" s="6" t="inlineStr">
        <is>
          <t>NEFT</t>
        </is>
      </c>
      <c r="D218" s="7" t="inlineStr"/>
      <c r="E218" s="11" t="n">
        <v>650000000</v>
      </c>
      <c r="F218" s="8" t="n">
        <v>21332000000</v>
      </c>
      <c r="G218" s="6" t="inlineStr">
        <is>
          <t>Two wheeler collections</t>
        </is>
      </c>
    </row>
    <row r="219" ht="16" customHeight="1">
      <c r="A219" s="9" t="n">
        <v>45260</v>
      </c>
      <c r="B219" s="10" t="inlineStr">
        <is>
          <t>INTEREST PAYMENT-NCD DEBENTURE HOLDERS</t>
        </is>
      </c>
      <c r="C219" s="10" t="inlineStr">
        <is>
          <t>NEFT</t>
        </is>
      </c>
      <c r="D219" s="13" t="n">
        <v>360000000</v>
      </c>
      <c r="E219" s="7" t="inlineStr"/>
      <c r="F219" s="12" t="n">
        <v>20972000000</v>
      </c>
      <c r="G219" s="10" t="inlineStr">
        <is>
          <t>NCD interest payment</t>
        </is>
      </c>
    </row>
    <row r="220" ht="16" customHeight="1">
      <c r="A220" s="5" t="n">
        <v>45264</v>
      </c>
      <c r="B220" s="6" t="inlineStr">
        <is>
          <t>NEFT-EMI COLLECTIONS-CONSUMER DURABLES DEC</t>
        </is>
      </c>
      <c r="C220" s="6" t="inlineStr">
        <is>
          <t>NEFT</t>
        </is>
      </c>
      <c r="D220" s="7" t="inlineStr"/>
      <c r="E220" s="11" t="n">
        <v>1200000000</v>
      </c>
      <c r="F220" s="8" t="n">
        <v>22172000000</v>
      </c>
      <c r="G220" s="6" t="inlineStr">
        <is>
          <t>Consumer loan collections</t>
        </is>
      </c>
    </row>
    <row r="221" ht="16" customHeight="1">
      <c r="A221" s="9" t="n">
        <v>45265</v>
      </c>
      <c r="B221" s="10" t="inlineStr">
        <is>
          <t>GST PAYMENT-NOV 2023</t>
        </is>
      </c>
      <c r="C221" s="10" t="inlineStr">
        <is>
          <t>NEFT</t>
        </is>
      </c>
      <c r="D221" s="13" t="n">
        <v>58000000</v>
      </c>
      <c r="E221" s="7" t="inlineStr"/>
      <c r="F221" s="12" t="n">
        <v>22114000000</v>
      </c>
      <c r="G221" s="10" t="inlineStr">
        <is>
          <t>GST Nov-23 payment</t>
        </is>
      </c>
    </row>
    <row r="222" ht="16" customHeight="1">
      <c r="A222" s="5" t="n">
        <v>45268</v>
      </c>
      <c r="B222" s="6" t="inlineStr">
        <is>
          <t>RTGS-EMI COLLECTIONS-HOME LOANS DEC</t>
        </is>
      </c>
      <c r="C222" s="6" t="inlineStr">
        <is>
          <t>RTGS</t>
        </is>
      </c>
      <c r="D222" s="7" t="inlineStr"/>
      <c r="E222" s="11" t="n">
        <v>940000000</v>
      </c>
      <c r="F222" s="8" t="n">
        <v>23054000000</v>
      </c>
      <c r="G222" s="6" t="inlineStr">
        <is>
          <t>Home loan collections</t>
        </is>
      </c>
    </row>
    <row r="223" ht="16" customHeight="1">
      <c r="A223" s="9" t="n">
        <v>45270</v>
      </c>
      <c r="B223" s="10" t="inlineStr">
        <is>
          <t>SALARY TRANSFER-DEC 2023</t>
        </is>
      </c>
      <c r="C223" s="10" t="inlineStr">
        <is>
          <t>NEFT</t>
        </is>
      </c>
      <c r="D223" s="13" t="n">
        <v>600000000</v>
      </c>
      <c r="E223" s="7" t="inlineStr"/>
      <c r="F223" s="12" t="n">
        <v>22454000000</v>
      </c>
      <c r="G223" s="10" t="inlineStr">
        <is>
          <t>Monthly salary</t>
        </is>
      </c>
    </row>
    <row r="224" ht="16" customHeight="1">
      <c r="A224" s="5" t="n">
        <v>45272</v>
      </c>
      <c r="B224" s="6" t="inlineStr">
        <is>
          <t>LOAN DISBURSEMENT-YEAR END FESTIVE BATCH</t>
        </is>
      </c>
      <c r="C224" s="6" t="inlineStr">
        <is>
          <t>NEFT</t>
        </is>
      </c>
      <c r="D224" s="13" t="n">
        <v>1900000000</v>
      </c>
      <c r="E224" s="7" t="inlineStr"/>
      <c r="F224" s="8" t="n">
        <v>20554000000</v>
      </c>
      <c r="G224" s="6" t="inlineStr">
        <is>
          <t>Year-end festive disbursements</t>
        </is>
      </c>
    </row>
    <row r="225" ht="16" customHeight="1">
      <c r="A225" s="9" t="n">
        <v>45275</v>
      </c>
      <c r="B225" s="10" t="inlineStr">
        <is>
          <t>NEFT-EMI COLLECTIONS-SME LOANS DEC</t>
        </is>
      </c>
      <c r="C225" s="10" t="inlineStr">
        <is>
          <t>NEFT</t>
        </is>
      </c>
      <c r="D225" s="7" t="inlineStr"/>
      <c r="E225" s="11" t="n">
        <v>600000000</v>
      </c>
      <c r="F225" s="12" t="n">
        <v>21154000000</v>
      </c>
      <c r="G225" s="10" t="inlineStr">
        <is>
          <t>SME loan collections</t>
        </is>
      </c>
    </row>
    <row r="226" ht="16" customHeight="1">
      <c r="A226" s="5" t="n">
        <v>45280</v>
      </c>
      <c r="B226" s="6" t="inlineStr">
        <is>
          <t>RTGS-EMI COLLECTIONS-ALL DIVISIONS DEC</t>
        </is>
      </c>
      <c r="C226" s="6" t="inlineStr">
        <is>
          <t>RTGS</t>
        </is>
      </c>
      <c r="D226" s="7" t="inlineStr"/>
      <c r="E226" s="11" t="n">
        <v>1100000000</v>
      </c>
      <c r="F226" s="8" t="n">
        <v>22254000000</v>
      </c>
      <c r="G226" s="6" t="inlineStr">
        <is>
          <t>All divisions collections</t>
        </is>
      </c>
    </row>
    <row r="227" ht="16" customHeight="1">
      <c r="A227" s="9" t="n">
        <v>45285</v>
      </c>
      <c r="B227" s="10" t="inlineStr">
        <is>
          <t>ADVANCE TAX PAYMENT-Q3 FY24</t>
        </is>
      </c>
      <c r="C227" s="10" t="inlineStr">
        <is>
          <t>NEFT</t>
        </is>
      </c>
      <c r="D227" s="13" t="n">
        <v>620000000</v>
      </c>
      <c r="E227" s="7" t="inlineStr"/>
      <c r="F227" s="12" t="n">
        <v>21634000000</v>
      </c>
      <c r="G227" s="10" t="inlineStr">
        <is>
          <t>Advance tax Q3 FY24</t>
        </is>
      </c>
    </row>
    <row r="228" ht="16" customHeight="1">
      <c r="A228" s="5" t="n">
        <v>45288</v>
      </c>
      <c r="B228" s="6" t="inlineStr">
        <is>
          <t>NEFT-COLLECTIONS-DIGITAL PLATFORM DEC</t>
        </is>
      </c>
      <c r="C228" s="6" t="inlineStr">
        <is>
          <t>NEFT</t>
        </is>
      </c>
      <c r="D228" s="7" t="inlineStr"/>
      <c r="E228" s="11" t="n">
        <v>350000000</v>
      </c>
      <c r="F228" s="8" t="n">
        <v>21984000000</v>
      </c>
      <c r="G228" s="6" t="inlineStr">
        <is>
          <t>Digital platform collections</t>
        </is>
      </c>
    </row>
    <row r="229" ht="16" customHeight="1">
      <c r="A229" s="9" t="n">
        <v>45291</v>
      </c>
      <c r="B229" s="10" t="inlineStr">
        <is>
          <t>INTEREST PAYMENT-NCD DEBENTURE HOLDERS</t>
        </is>
      </c>
      <c r="C229" s="10" t="inlineStr">
        <is>
          <t>NEFT</t>
        </is>
      </c>
      <c r="D229" s="13" t="n">
        <v>360000000</v>
      </c>
      <c r="E229" s="7" t="inlineStr"/>
      <c r="F229" s="12" t="n">
        <v>21624000000</v>
      </c>
      <c r="G229" s="10" t="inlineStr">
        <is>
          <t>NCD interest payment</t>
        </is>
      </c>
    </row>
    <row r="230" ht="16" customHeight="1">
      <c r="A230" s="5" t="n">
        <v>45295</v>
      </c>
      <c r="B230" s="6" t="inlineStr">
        <is>
          <t>NEFT-EMI COLLECTIONS-CONSUMER DURABLES JAN</t>
        </is>
      </c>
      <c r="C230" s="6" t="inlineStr">
        <is>
          <t>NEFT</t>
        </is>
      </c>
      <c r="D230" s="7" t="inlineStr"/>
      <c r="E230" s="11" t="n">
        <v>1180000000</v>
      </c>
      <c r="F230" s="8" t="n">
        <v>22804000000</v>
      </c>
      <c r="G230" s="6" t="inlineStr">
        <is>
          <t>Consumer loan collections</t>
        </is>
      </c>
    </row>
    <row r="231" ht="16" customHeight="1">
      <c r="A231" s="9" t="n">
        <v>45296</v>
      </c>
      <c r="B231" s="10" t="inlineStr">
        <is>
          <t>GST PAYMENT-DEC 2023</t>
        </is>
      </c>
      <c r="C231" s="10" t="inlineStr">
        <is>
          <t>NEFT</t>
        </is>
      </c>
      <c r="D231" s="13" t="n">
        <v>58500000</v>
      </c>
      <c r="E231" s="7" t="inlineStr"/>
      <c r="F231" s="12" t="n">
        <v>22745500000</v>
      </c>
      <c r="G231" s="10" t="inlineStr">
        <is>
          <t>GST Dec-23 payment</t>
        </is>
      </c>
    </row>
    <row r="232" ht="16" customHeight="1">
      <c r="A232" s="5" t="n">
        <v>45299</v>
      </c>
      <c r="B232" s="6" t="inlineStr">
        <is>
          <t>RTGS-EMI COLLECTIONS-HOME LOANS JAN</t>
        </is>
      </c>
      <c r="C232" s="6" t="inlineStr">
        <is>
          <t>RTGS</t>
        </is>
      </c>
      <c r="D232" s="7" t="inlineStr"/>
      <c r="E232" s="11" t="n">
        <v>960000000</v>
      </c>
      <c r="F232" s="8" t="n">
        <v>23705500000</v>
      </c>
      <c r="G232" s="6" t="inlineStr">
        <is>
          <t>Home loan collections</t>
        </is>
      </c>
    </row>
    <row r="233" ht="16" customHeight="1">
      <c r="A233" s="9" t="n">
        <v>45301</v>
      </c>
      <c r="B233" s="10" t="inlineStr">
        <is>
          <t>SALARY TRANSFER-JAN 2024</t>
        </is>
      </c>
      <c r="C233" s="10" t="inlineStr">
        <is>
          <t>NEFT</t>
        </is>
      </c>
      <c r="D233" s="13" t="n">
        <v>605000000</v>
      </c>
      <c r="E233" s="7" t="inlineStr"/>
      <c r="F233" s="12" t="n">
        <v>23100500000</v>
      </c>
      <c r="G233" s="10" t="inlineStr">
        <is>
          <t>Monthly salary</t>
        </is>
      </c>
    </row>
    <row r="234" ht="16" customHeight="1">
      <c r="A234" s="5" t="n">
        <v>45303</v>
      </c>
      <c r="B234" s="6" t="inlineStr">
        <is>
          <t>LOAN DISBURSEMENT-PERSONAL LOAN BATCH JAN</t>
        </is>
      </c>
      <c r="C234" s="6" t="inlineStr">
        <is>
          <t>NEFT</t>
        </is>
      </c>
      <c r="D234" s="13" t="n">
        <v>1580000000</v>
      </c>
      <c r="E234" s="7" t="inlineStr"/>
      <c r="F234" s="8" t="n">
        <v>21520500000</v>
      </c>
      <c r="G234" s="6" t="inlineStr">
        <is>
          <t>Personal loan disbursements</t>
        </is>
      </c>
    </row>
    <row r="235" ht="16" customHeight="1">
      <c r="A235" s="9" t="n">
        <v>45306</v>
      </c>
      <c r="B235" s="10" t="inlineStr">
        <is>
          <t>NEFT-EMI COLLECTIONS-TWO WHEELER JAN</t>
        </is>
      </c>
      <c r="C235" s="10" t="inlineStr">
        <is>
          <t>NEFT</t>
        </is>
      </c>
      <c r="D235" s="7" t="inlineStr"/>
      <c r="E235" s="11" t="n">
        <v>670000000</v>
      </c>
      <c r="F235" s="12" t="n">
        <v>22190500000</v>
      </c>
      <c r="G235" s="10" t="inlineStr">
        <is>
          <t>Two wheeler collections</t>
        </is>
      </c>
    </row>
    <row r="236" ht="16" customHeight="1">
      <c r="A236" s="5" t="n">
        <v>45311</v>
      </c>
      <c r="B236" s="6" t="inlineStr">
        <is>
          <t>RTGS-EMI COLLECTIONS-SME LOANS JAN</t>
        </is>
      </c>
      <c r="C236" s="6" t="inlineStr">
        <is>
          <t>RTGS</t>
        </is>
      </c>
      <c r="D236" s="7" t="inlineStr"/>
      <c r="E236" s="11" t="n">
        <v>590000000</v>
      </c>
      <c r="F236" s="8" t="n">
        <v>22780500000</v>
      </c>
      <c r="G236" s="6" t="inlineStr">
        <is>
          <t>SME loan collections</t>
        </is>
      </c>
    </row>
    <row r="237" ht="16" customHeight="1">
      <c r="A237" s="9" t="n">
        <v>45316</v>
      </c>
      <c r="B237" s="10" t="inlineStr">
        <is>
          <t>RENT+UTILITIES ALL OFFICES JAN 2024</t>
        </is>
      </c>
      <c r="C237" s="10" t="inlineStr">
        <is>
          <t>NEFT</t>
        </is>
      </c>
      <c r="D237" s="13" t="n">
        <v>26000000</v>
      </c>
      <c r="E237" s="7" t="inlineStr"/>
      <c r="F237" s="12" t="n">
        <v>22754500000</v>
      </c>
      <c r="G237" s="10" t="inlineStr">
        <is>
          <t>Rent and utilities</t>
        </is>
      </c>
    </row>
    <row r="238" ht="16" customHeight="1">
      <c r="A238" s="5" t="n">
        <v>45319</v>
      </c>
      <c r="B238" s="6" t="inlineStr">
        <is>
          <t>NEFT-EMI COLLECTIONS-RURAL FINANCE JAN</t>
        </is>
      </c>
      <c r="C238" s="6" t="inlineStr">
        <is>
          <t>NEFT</t>
        </is>
      </c>
      <c r="D238" s="7" t="inlineStr"/>
      <c r="E238" s="11" t="n">
        <v>500000000</v>
      </c>
      <c r="F238" s="8" t="n">
        <v>23254500000</v>
      </c>
      <c r="G238" s="6" t="inlineStr">
        <is>
          <t>Rural finance collections</t>
        </is>
      </c>
    </row>
    <row r="239" ht="16" customHeight="1">
      <c r="A239" s="9" t="n">
        <v>45322</v>
      </c>
      <c r="B239" s="10" t="inlineStr">
        <is>
          <t>INTEREST PAYMENT-NCD DEBENTURE HOLDERS</t>
        </is>
      </c>
      <c r="C239" s="10" t="inlineStr">
        <is>
          <t>NEFT</t>
        </is>
      </c>
      <c r="D239" s="13" t="n">
        <v>360000000</v>
      </c>
      <c r="E239" s="7" t="inlineStr"/>
      <c r="F239" s="12" t="n">
        <v>22894500000</v>
      </c>
      <c r="G239" s="10" t="inlineStr">
        <is>
          <t>NCD interest payment</t>
        </is>
      </c>
    </row>
    <row r="240" ht="16" customHeight="1">
      <c r="A240" s="5" t="n">
        <v>45325</v>
      </c>
      <c r="B240" s="6" t="inlineStr">
        <is>
          <t>NEFT-EMI COLLECTIONS-CONSUMER DURABLES FEB</t>
        </is>
      </c>
      <c r="C240" s="6" t="inlineStr">
        <is>
          <t>NEFT</t>
        </is>
      </c>
      <c r="D240" s="7" t="inlineStr"/>
      <c r="E240" s="11" t="n">
        <v>1150000000</v>
      </c>
      <c r="F240" s="8" t="n">
        <v>24044500000</v>
      </c>
      <c r="G240" s="6" t="inlineStr">
        <is>
          <t>Consumer loan collections</t>
        </is>
      </c>
    </row>
    <row r="241" ht="16" customHeight="1">
      <c r="A241" s="9" t="n">
        <v>45327</v>
      </c>
      <c r="B241" s="10" t="inlineStr">
        <is>
          <t>GST PAYMENT-JAN 2024</t>
        </is>
      </c>
      <c r="C241" s="10" t="inlineStr">
        <is>
          <t>NEFT</t>
        </is>
      </c>
      <c r="D241" s="13" t="n">
        <v>58000000</v>
      </c>
      <c r="E241" s="7" t="inlineStr"/>
      <c r="F241" s="12" t="n">
        <v>23986500000</v>
      </c>
      <c r="G241" s="10" t="inlineStr">
        <is>
          <t>GST Jan-24 payment</t>
        </is>
      </c>
    </row>
    <row r="242" ht="16" customHeight="1">
      <c r="A242" s="5" t="n">
        <v>45330</v>
      </c>
      <c r="B242" s="6" t="inlineStr">
        <is>
          <t>RTGS-EMI COLLECTIONS-HOME LOANS FEB</t>
        </is>
      </c>
      <c r="C242" s="6" t="inlineStr">
        <is>
          <t>RTGS</t>
        </is>
      </c>
      <c r="D242" s="7" t="inlineStr"/>
      <c r="E242" s="11" t="n">
        <v>980000000</v>
      </c>
      <c r="F242" s="8" t="n">
        <v>24966500000</v>
      </c>
      <c r="G242" s="6" t="inlineStr">
        <is>
          <t>Home loan collections</t>
        </is>
      </c>
    </row>
    <row r="243" ht="16" customHeight="1">
      <c r="A243" s="9" t="n">
        <v>45332</v>
      </c>
      <c r="B243" s="10" t="inlineStr">
        <is>
          <t>SALARY TRANSFER-FEB 2024</t>
        </is>
      </c>
      <c r="C243" s="10" t="inlineStr">
        <is>
          <t>NEFT</t>
        </is>
      </c>
      <c r="D243" s="13" t="n">
        <v>610000000</v>
      </c>
      <c r="E243" s="7" t="inlineStr"/>
      <c r="F243" s="12" t="n">
        <v>24356500000</v>
      </c>
      <c r="G243" s="10" t="inlineStr">
        <is>
          <t>Monthly salary</t>
        </is>
      </c>
    </row>
    <row r="244" ht="16" customHeight="1">
      <c r="A244" s="5" t="n">
        <v>45334</v>
      </c>
      <c r="B244" s="6" t="inlineStr">
        <is>
          <t>LOAN DISBURSEMENT-SME LOAN BATCH FEB</t>
        </is>
      </c>
      <c r="C244" s="6" t="inlineStr">
        <is>
          <t>NEFT</t>
        </is>
      </c>
      <c r="D244" s="13" t="n">
        <v>1300000000</v>
      </c>
      <c r="E244" s="7" t="inlineStr"/>
      <c r="F244" s="8" t="n">
        <v>23056500000</v>
      </c>
      <c r="G244" s="6" t="inlineStr">
        <is>
          <t>SME loan disbursements</t>
        </is>
      </c>
    </row>
    <row r="245" ht="16" customHeight="1">
      <c r="A245" s="9" t="n">
        <v>45337</v>
      </c>
      <c r="B245" s="10" t="inlineStr">
        <is>
          <t>NEFT-EMI COLLECTIONS-CORPORATE FEB</t>
        </is>
      </c>
      <c r="C245" s="10" t="inlineStr">
        <is>
          <t>NEFT</t>
        </is>
      </c>
      <c r="D245" s="7" t="inlineStr"/>
      <c r="E245" s="11" t="n">
        <v>1080000000</v>
      </c>
      <c r="F245" s="12" t="n">
        <v>24136500000</v>
      </c>
      <c r="G245" s="10" t="inlineStr">
        <is>
          <t>Corporate loan collections</t>
        </is>
      </c>
    </row>
    <row r="246" ht="16" customHeight="1">
      <c r="A246" s="5" t="n">
        <v>45342</v>
      </c>
      <c r="B246" s="6" t="inlineStr">
        <is>
          <t>RTGS-EMI COLLECTIONS-TWO WHEELER FEB</t>
        </is>
      </c>
      <c r="C246" s="6" t="inlineStr">
        <is>
          <t>RTGS</t>
        </is>
      </c>
      <c r="D246" s="7" t="inlineStr"/>
      <c r="E246" s="11" t="n">
        <v>700000000</v>
      </c>
      <c r="F246" s="8" t="n">
        <v>24836500000</v>
      </c>
      <c r="G246" s="6" t="inlineStr">
        <is>
          <t>Two wheeler collections</t>
        </is>
      </c>
    </row>
    <row r="247" ht="16" customHeight="1">
      <c r="A247" s="9" t="n">
        <v>45347</v>
      </c>
      <c r="B247" s="10" t="inlineStr">
        <is>
          <t>VENDOR PAYMENT-AUDIT FEES-BSRCO FY23</t>
        </is>
      </c>
      <c r="C247" s="10" t="inlineStr">
        <is>
          <t>NEFT</t>
        </is>
      </c>
      <c r="D247" s="13" t="n">
        <v>52000000</v>
      </c>
      <c r="E247" s="7" t="inlineStr"/>
      <c r="F247" s="12" t="n">
        <v>24784500000</v>
      </c>
      <c r="G247" s="10" t="inlineStr">
        <is>
          <t>Audit fees FY23</t>
        </is>
      </c>
    </row>
    <row r="248" ht="16" customHeight="1">
      <c r="A248" s="5" t="n">
        <v>45350</v>
      </c>
      <c r="B248" s="6" t="inlineStr">
        <is>
          <t>NEFT-EMI COLLECTIONS-DIGITAL LOANS FEB</t>
        </is>
      </c>
      <c r="C248" s="6" t="inlineStr">
        <is>
          <t>NEFT</t>
        </is>
      </c>
      <c r="D248" s="7" t="inlineStr"/>
      <c r="E248" s="11" t="n">
        <v>380000000</v>
      </c>
      <c r="F248" s="8" t="n">
        <v>25164500000</v>
      </c>
      <c r="G248" s="6" t="inlineStr">
        <is>
          <t>Digital loan collections</t>
        </is>
      </c>
    </row>
    <row r="249" ht="16" customHeight="1">
      <c r="A249" s="9" t="n">
        <v>45355</v>
      </c>
      <c r="B249" s="10" t="inlineStr">
        <is>
          <t>NEFT-EMI COLLECTIONS-CONSUMER DURABLES MAR</t>
        </is>
      </c>
      <c r="C249" s="10" t="inlineStr">
        <is>
          <t>NEFT</t>
        </is>
      </c>
      <c r="D249" s="7" t="inlineStr"/>
      <c r="E249" s="11" t="n">
        <v>1250000000</v>
      </c>
      <c r="F249" s="12" t="n">
        <v>26414500000</v>
      </c>
      <c r="G249" s="10" t="inlineStr">
        <is>
          <t>Consumer loan collections</t>
        </is>
      </c>
    </row>
    <row r="250" ht="16" customHeight="1">
      <c r="A250" s="5" t="n">
        <v>45356</v>
      </c>
      <c r="B250" s="6" t="inlineStr">
        <is>
          <t>GST PAYMENT-FEB 2024</t>
        </is>
      </c>
      <c r="C250" s="6" t="inlineStr">
        <is>
          <t>NEFT</t>
        </is>
      </c>
      <c r="D250" s="13" t="n">
        <v>57500000</v>
      </c>
      <c r="E250" s="7" t="inlineStr"/>
      <c r="F250" s="8" t="n">
        <v>26357000000</v>
      </c>
      <c r="G250" s="6" t="inlineStr">
        <is>
          <t>GST Feb-24 payment</t>
        </is>
      </c>
    </row>
    <row r="251" ht="16" customHeight="1">
      <c r="A251" s="9" t="n">
        <v>45359</v>
      </c>
      <c r="B251" s="10" t="inlineStr">
        <is>
          <t>RTGS-EMI COLLECTIONS-HOME LOANS MAR</t>
        </is>
      </c>
      <c r="C251" s="10" t="inlineStr">
        <is>
          <t>RTGS</t>
        </is>
      </c>
      <c r="D251" s="7" t="inlineStr"/>
      <c r="E251" s="11" t="n">
        <v>1000000000</v>
      </c>
      <c r="F251" s="12" t="n">
        <v>27357000000</v>
      </c>
      <c r="G251" s="10" t="inlineStr">
        <is>
          <t>Home loan collections</t>
        </is>
      </c>
    </row>
    <row r="252" ht="16" customHeight="1">
      <c r="A252" s="5" t="n">
        <v>45361</v>
      </c>
      <c r="B252" s="6" t="inlineStr">
        <is>
          <t>SALARY TRANSFER-MAR 2024</t>
        </is>
      </c>
      <c r="C252" s="6" t="inlineStr">
        <is>
          <t>NEFT</t>
        </is>
      </c>
      <c r="D252" s="13" t="n">
        <v>615000000</v>
      </c>
      <c r="E252" s="7" t="inlineStr"/>
      <c r="F252" s="8" t="n">
        <v>26742000000</v>
      </c>
      <c r="G252" s="6" t="inlineStr">
        <is>
          <t>Monthly salary</t>
        </is>
      </c>
    </row>
    <row r="253" ht="16" customHeight="1">
      <c r="A253" s="9" t="n">
        <v>45363</v>
      </c>
      <c r="B253" s="10" t="inlineStr">
        <is>
          <t>LOAN DISBURSEMENT-YEAR END BATCH MAR 2024</t>
        </is>
      </c>
      <c r="C253" s="10" t="inlineStr">
        <is>
          <t>NEFT</t>
        </is>
      </c>
      <c r="D253" s="13" t="n">
        <v>1950000000</v>
      </c>
      <c r="E253" s="7" t="inlineStr"/>
      <c r="F253" s="12" t="n">
        <v>24792000000</v>
      </c>
      <c r="G253" s="10" t="inlineStr">
        <is>
          <t>Year-end disbursements</t>
        </is>
      </c>
    </row>
    <row r="254" ht="16" customHeight="1">
      <c r="A254" s="14" t="n">
        <v>45366</v>
      </c>
      <c r="B254" s="15" t="inlineStr">
        <is>
          <t>NEFT-EMI COLLECTIONS-CORPORATE MAR-ANOMALY</t>
        </is>
      </c>
      <c r="C254" s="15" t="inlineStr">
        <is>
          <t>NEFT</t>
        </is>
      </c>
      <c r="D254" s="16" t="inlineStr"/>
      <c r="E254" s="16" t="n">
        <v>1800000000</v>
      </c>
      <c r="F254" s="17" t="n">
        <v>26592000000</v>
      </c>
      <c r="G254" s="15" t="inlineStr">
        <is>
          <t>Corporate collections — ANOMALY: Inflated year-end</t>
        </is>
      </c>
    </row>
    <row r="255" ht="16" customHeight="1">
      <c r="A255" s="9" t="n">
        <v>45371</v>
      </c>
      <c r="B255" s="10" t="inlineStr">
        <is>
          <t>RTGS-EMI COLLECTIONS-ALL DIVISIONS YEAR END</t>
        </is>
      </c>
      <c r="C255" s="10" t="inlineStr">
        <is>
          <t>RTGS</t>
        </is>
      </c>
      <c r="D255" s="7" t="inlineStr"/>
      <c r="E255" s="11" t="n">
        <v>1400000000</v>
      </c>
      <c r="F255" s="12" t="n">
        <v>27992000000</v>
      </c>
      <c r="G255" s="10" t="inlineStr">
        <is>
          <t>Year-end all divisions</t>
        </is>
      </c>
    </row>
    <row r="256" ht="16" customHeight="1">
      <c r="A256" s="5" t="n">
        <v>45376</v>
      </c>
      <c r="B256" s="6" t="inlineStr">
        <is>
          <t>ADVANCE TAX PAYMENT-Q4 FY24</t>
        </is>
      </c>
      <c r="C256" s="6" t="inlineStr">
        <is>
          <t>NEFT</t>
        </is>
      </c>
      <c r="D256" s="13" t="n">
        <v>680000000</v>
      </c>
      <c r="E256" s="7" t="inlineStr"/>
      <c r="F256" s="8" t="n">
        <v>27312000000</v>
      </c>
      <c r="G256" s="6" t="inlineStr">
        <is>
          <t>Advance tax Q4 FY24</t>
        </is>
      </c>
    </row>
    <row r="257" ht="16" customHeight="1">
      <c r="A257" s="9" t="n">
        <v>45379</v>
      </c>
      <c r="B257" s="10" t="inlineStr">
        <is>
          <t>NEFT-YEAR END BONUS COLLECTIONS-ALL ZONES</t>
        </is>
      </c>
      <c r="C257" s="10" t="inlineStr">
        <is>
          <t>NEFT</t>
        </is>
      </c>
      <c r="D257" s="7" t="inlineStr"/>
      <c r="E257" s="11" t="n">
        <v>1100000000</v>
      </c>
      <c r="F257" s="12" t="n">
        <v>28412000000</v>
      </c>
      <c r="G257" s="10" t="inlineStr">
        <is>
          <t>Year-end bonus collections — verify</t>
        </is>
      </c>
    </row>
    <row r="258" ht="16" customHeight="1">
      <c r="A258" s="5" t="n">
        <v>45382</v>
      </c>
      <c r="B258" s="6" t="inlineStr">
        <is>
          <t>INTEREST PAYMENT-NCD DEBENTURE HOLDERS</t>
        </is>
      </c>
      <c r="C258" s="6" t="inlineStr">
        <is>
          <t>NEFT</t>
        </is>
      </c>
      <c r="D258" s="13" t="n">
        <v>360000000</v>
      </c>
      <c r="E258" s="7" t="inlineStr"/>
      <c r="F258" s="8" t="n">
        <v>28052000000</v>
      </c>
      <c r="G258" s="6" t="inlineStr">
        <is>
          <t>NCD interest payment</t>
        </is>
      </c>
    </row>
    <row r="259" ht="20" customHeight="1">
      <c r="A259" s="18" t="n"/>
      <c r="B259" s="18" t="inlineStr">
        <is>
          <t>TOTALS (FY2022-24)</t>
        </is>
      </c>
      <c r="C259" s="18" t="n"/>
      <c r="D259" s="19">
        <f>SUM(D12:D258)</f>
        <v/>
      </c>
      <c r="E259" s="19">
        <f>SUM(E12:E258)</f>
        <v/>
      </c>
      <c r="F259" s="19">
        <f>E259-D259</f>
        <v/>
      </c>
      <c r="G259" s="18" t="n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22" customWidth="1" min="3" max="3"/>
    <col width="22" customWidth="1" min="4" max="4"/>
  </cols>
  <sheetData>
    <row r="1" ht="26" customHeight="1">
      <c r="A1" s="20" t="inlineStr">
        <is>
          <t>MONTHLY CASH FLOW SUMMARY — BAJAJ FINANCE LIMITED</t>
        </is>
      </c>
    </row>
    <row r="3">
      <c r="A3" s="4" t="inlineStr">
        <is>
          <t>Month</t>
        </is>
      </c>
      <c r="B3" s="4" t="inlineStr">
        <is>
          <t>Total Credits (₹)</t>
        </is>
      </c>
      <c r="C3" s="4" t="inlineStr">
        <is>
          <t>Total Debits (₹)</t>
        </is>
      </c>
      <c r="D3" s="4" t="inlineStr">
        <is>
          <t>Net Flow (₹)</t>
        </is>
      </c>
    </row>
    <row r="4" ht="16" customHeight="1">
      <c r="A4" s="21" t="inlineStr">
        <is>
          <t>Apr-22</t>
        </is>
      </c>
      <c r="B4" s="22" t="n">
        <v>3180000000</v>
      </c>
      <c r="C4" s="23" t="n">
        <v>2685000000</v>
      </c>
      <c r="D4" s="24">
        <f>B4-C4</f>
        <v/>
      </c>
    </row>
    <row r="5" ht="16" customHeight="1">
      <c r="A5" s="25" t="inlineStr">
        <is>
          <t>May-22</t>
        </is>
      </c>
      <c r="B5" s="26" t="n">
        <v>3290000000</v>
      </c>
      <c r="C5" s="27" t="n">
        <v>2745000000</v>
      </c>
      <c r="D5" s="28">
        <f>B5-C5</f>
        <v/>
      </c>
    </row>
    <row r="6" ht="16" customHeight="1">
      <c r="A6" s="21" t="inlineStr">
        <is>
          <t>Jun-22</t>
        </is>
      </c>
      <c r="B6" s="22" t="n">
        <v>3210000000</v>
      </c>
      <c r="C6" s="23" t="n">
        <v>2698000000</v>
      </c>
      <c r="D6" s="24">
        <f>B6-C6</f>
        <v/>
      </c>
    </row>
    <row r="7" ht="16" customHeight="1">
      <c r="A7" s="25" t="inlineStr">
        <is>
          <t>Jul-22</t>
        </is>
      </c>
      <c r="B7" s="26" t="n">
        <v>3340000000</v>
      </c>
      <c r="C7" s="27" t="n">
        <v>2782000000</v>
      </c>
      <c r="D7" s="28">
        <f>B7-C7</f>
        <v/>
      </c>
    </row>
    <row r="8" ht="16" customHeight="1">
      <c r="A8" s="21" t="inlineStr">
        <is>
          <t>Aug-22</t>
        </is>
      </c>
      <c r="B8" s="22" t="n">
        <v>3250000000</v>
      </c>
      <c r="C8" s="23" t="n">
        <v>2730000000</v>
      </c>
      <c r="D8" s="24">
        <f>B8-C8</f>
        <v/>
      </c>
    </row>
    <row r="9" ht="16" customHeight="1">
      <c r="A9" s="25" t="inlineStr">
        <is>
          <t>Sep-22</t>
        </is>
      </c>
      <c r="B9" s="26" t="n">
        <v>3260000000</v>
      </c>
      <c r="C9" s="27" t="n">
        <v>3145000000</v>
      </c>
      <c r="D9" s="28">
        <f>B9-C9</f>
        <v/>
      </c>
    </row>
    <row r="10" ht="16" customHeight="1">
      <c r="A10" s="21" t="inlineStr">
        <is>
          <t>Oct-22</t>
        </is>
      </c>
      <c r="B10" s="22" t="n">
        <v>3390000000</v>
      </c>
      <c r="C10" s="23" t="n">
        <v>2808000000</v>
      </c>
      <c r="D10" s="24">
        <f>B10-C10</f>
        <v/>
      </c>
    </row>
    <row r="11" ht="16" customHeight="1">
      <c r="A11" s="25" t="inlineStr">
        <is>
          <t>Nov-22</t>
        </is>
      </c>
      <c r="B11" s="26" t="n">
        <v>3430000000</v>
      </c>
      <c r="C11" s="27" t="n">
        <v>2858000000</v>
      </c>
      <c r="D11" s="28">
        <f>B11-C11</f>
        <v/>
      </c>
    </row>
    <row r="12" ht="16" customHeight="1">
      <c r="A12" s="21" t="inlineStr">
        <is>
          <t>Dec-22</t>
        </is>
      </c>
      <c r="B12" s="22" t="n">
        <v>3660000000</v>
      </c>
      <c r="C12" s="23" t="n">
        <v>3055000000</v>
      </c>
      <c r="D12" s="24">
        <f>B12-C12</f>
        <v/>
      </c>
    </row>
    <row r="13" ht="16" customHeight="1">
      <c r="A13" s="25" t="inlineStr">
        <is>
          <t>Jan-23</t>
        </is>
      </c>
      <c r="B13" s="26" t="n">
        <v>3540000000</v>
      </c>
      <c r="C13" s="27" t="n">
        <v>2897000000</v>
      </c>
      <c r="D13" s="28">
        <f>B13-C13</f>
        <v/>
      </c>
    </row>
    <row r="14" ht="16" customHeight="1">
      <c r="A14" s="21" t="inlineStr">
        <is>
          <t>Feb-23</t>
        </is>
      </c>
      <c r="B14" s="22" t="n">
        <v>3480000000</v>
      </c>
      <c r="C14" s="23" t="n">
        <v>2851000000</v>
      </c>
      <c r="D14" s="24">
        <f>B14-C14</f>
        <v/>
      </c>
    </row>
    <row r="15" ht="16" customHeight="1">
      <c r="A15" s="25" t="inlineStr">
        <is>
          <t>Mar-23</t>
        </is>
      </c>
      <c r="B15" s="26" t="n">
        <v>4700000000</v>
      </c>
      <c r="C15" s="27" t="n">
        <v>3321000000</v>
      </c>
      <c r="D15" s="28">
        <f>B15-C15</f>
        <v/>
      </c>
    </row>
    <row r="16" ht="16" customHeight="1">
      <c r="A16" s="21" t="inlineStr">
        <is>
          <t>Apr-23</t>
        </is>
      </c>
      <c r="B16" s="22" t="n">
        <v>3920000000</v>
      </c>
      <c r="C16" s="23" t="n">
        <v>3143000000</v>
      </c>
      <c r="D16" s="24">
        <f>B16-C16</f>
        <v/>
      </c>
    </row>
    <row r="17" ht="16" customHeight="1">
      <c r="A17" s="25" t="inlineStr">
        <is>
          <t>May-23</t>
        </is>
      </c>
      <c r="B17" s="26" t="n">
        <v>4090000000</v>
      </c>
      <c r="C17" s="27" t="n">
        <v>3218000000</v>
      </c>
      <c r="D17" s="28">
        <f>B17-C17</f>
        <v/>
      </c>
    </row>
    <row r="18" ht="16" customHeight="1">
      <c r="A18" s="21" t="inlineStr">
        <is>
          <t>Jun-23</t>
        </is>
      </c>
      <c r="B18" s="22" t="n">
        <v>4030000000</v>
      </c>
      <c r="C18" s="23" t="n">
        <v>3198000000</v>
      </c>
      <c r="D18" s="24">
        <f>B18-C18</f>
        <v/>
      </c>
    </row>
    <row r="19" ht="16" customHeight="1">
      <c r="A19" s="25" t="inlineStr">
        <is>
          <t>Jul-23</t>
        </is>
      </c>
      <c r="B19" s="26" t="n">
        <v>4480000000</v>
      </c>
      <c r="C19" s="27" t="n">
        <v>3335000000</v>
      </c>
      <c r="D19" s="28">
        <f>B19-C19</f>
        <v/>
      </c>
    </row>
    <row r="20" ht="16" customHeight="1">
      <c r="A20" s="21" t="inlineStr">
        <is>
          <t>Aug-23</t>
        </is>
      </c>
      <c r="B20" s="22" t="n">
        <v>4340000000</v>
      </c>
      <c r="C20" s="23" t="n">
        <v>3363000000</v>
      </c>
      <c r="D20" s="24">
        <f>B20-C20</f>
        <v/>
      </c>
    </row>
    <row r="21" ht="16" customHeight="1">
      <c r="A21" s="25" t="inlineStr">
        <is>
          <t>Sep-23</t>
        </is>
      </c>
      <c r="B21" s="26" t="n">
        <v>4550000000</v>
      </c>
      <c r="C21" s="27" t="n">
        <v>3736000000</v>
      </c>
      <c r="D21" s="28">
        <f>B21-C21</f>
        <v/>
      </c>
    </row>
    <row r="22" ht="16" customHeight="1">
      <c r="A22" s="21" t="inlineStr">
        <is>
          <t>Oct-23</t>
        </is>
      </c>
      <c r="B22" s="22" t="n">
        <v>4660000000</v>
      </c>
      <c r="C22" s="23" t="n">
        <v>3688000000</v>
      </c>
      <c r="D22" s="24">
        <f>B22-C22</f>
        <v/>
      </c>
    </row>
    <row r="23" ht="16" customHeight="1">
      <c r="A23" s="25" t="inlineStr">
        <is>
          <t>Nov-23</t>
        </is>
      </c>
      <c r="B23" s="26" t="n">
        <v>4760000000</v>
      </c>
      <c r="C23" s="27" t="n">
        <v>3709000000</v>
      </c>
      <c r="D23" s="28">
        <f>B23-C23</f>
        <v/>
      </c>
    </row>
    <row r="24" ht="16" customHeight="1">
      <c r="A24" s="21" t="inlineStr">
        <is>
          <t>Dec-23</t>
        </is>
      </c>
      <c r="B24" s="22" t="n">
        <v>5090000000</v>
      </c>
      <c r="C24" s="23" t="n">
        <v>3895000000</v>
      </c>
      <c r="D24" s="24">
        <f>B24-C24</f>
        <v/>
      </c>
    </row>
    <row r="25" ht="16" customHeight="1">
      <c r="A25" s="25" t="inlineStr">
        <is>
          <t>Jan-24</t>
        </is>
      </c>
      <c r="B25" s="26" t="n">
        <v>4900000000</v>
      </c>
      <c r="C25" s="27" t="n">
        <v>3836000000</v>
      </c>
      <c r="D25" s="28">
        <f>B25-C25</f>
        <v/>
      </c>
    </row>
    <row r="26" ht="16" customHeight="1">
      <c r="A26" s="21" t="inlineStr">
        <is>
          <t>Feb-24</t>
        </is>
      </c>
      <c r="B26" s="22" t="n">
        <v>4930000000</v>
      </c>
      <c r="C26" s="23" t="n">
        <v>3735000000</v>
      </c>
      <c r="D26" s="24">
        <f>B26-C26</f>
        <v/>
      </c>
    </row>
    <row r="27" ht="16" customHeight="1">
      <c r="A27" s="25" t="inlineStr">
        <is>
          <t>Mar-24</t>
        </is>
      </c>
      <c r="B27" s="26" t="n">
        <v>6550000000</v>
      </c>
      <c r="C27" s="27" t="n">
        <v>4319500000</v>
      </c>
      <c r="D27" s="28">
        <f>B27-C27</f>
        <v/>
      </c>
    </row>
    <row r="28">
      <c r="A28" s="18" t="inlineStr">
        <is>
          <t>TOTAL</t>
        </is>
      </c>
      <c r="B28" s="19">
        <f>SUM(B4:B27)</f>
        <v/>
      </c>
      <c r="C28" s="19">
        <f>SUM(C4:C27)</f>
        <v/>
      </c>
      <c r="D28" s="19">
        <f>B28-C28)</f>
        <v/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22" customWidth="1" min="3" max="3"/>
    <col width="22" customWidth="1" min="4" max="4"/>
    <col width="18" customWidth="1" min="5" max="5"/>
    <col width="32" customWidth="1" min="6" max="6"/>
  </cols>
  <sheetData>
    <row r="1" ht="26" customHeight="1">
      <c r="A1" s="29" t="inlineStr">
        <is>
          <t>AUTO-DETECTED ANOMALIES — BAJAJ FINANCE LTD — FOR CREDIT OFFICER REVIEW</t>
        </is>
      </c>
    </row>
    <row r="3">
      <c r="A3" s="4" t="inlineStr">
        <is>
          <t>Severity</t>
        </is>
      </c>
      <c r="B3" s="4" t="inlineStr">
        <is>
          <t>Anomaly Type</t>
        </is>
      </c>
      <c r="C3" s="4" t="inlineStr">
        <is>
          <t>GST Value (₹)</t>
        </is>
      </c>
      <c r="D3" s="4" t="inlineStr">
        <is>
          <t>Bank Value (₹)</t>
        </is>
      </c>
      <c r="E3" s="4" t="inlineStr">
        <is>
          <t>Gap (₹)</t>
        </is>
      </c>
      <c r="F3" s="4" t="inlineStr">
        <is>
          <t>AI Explanation</t>
        </is>
      </c>
    </row>
    <row r="4" ht="32" customHeight="1">
      <c r="A4" s="30" t="inlineStr">
        <is>
          <t>🚨 CRITICAL</t>
        </is>
      </c>
      <c r="B4" s="31" t="inlineStr">
        <is>
          <t>Revenue Inflation — GST vs Bank Gap FY24</t>
        </is>
      </c>
      <c r="C4" s="32" t="n">
        <v>418000000000</v>
      </c>
      <c r="D4" s="32" t="n">
        <v>455000000000</v>
      </c>
      <c r="E4" s="33">
        <f>D4-C4</f>
        <v/>
      </c>
      <c r="F4" s="34" t="inlineStr">
        <is>
          <t>Bank credits exceed GSTR-3B turnover by ~8.8%. Investigate unreported income.</t>
        </is>
      </c>
    </row>
    <row r="5" ht="32" customHeight="1">
      <c r="A5" s="30" t="inlineStr">
        <is>
          <t>🚨 CRITICAL</t>
        </is>
      </c>
      <c r="B5" s="31" t="inlineStr">
        <is>
          <t>Year-End Collection Spike — Mar-24 Corp Loans</t>
        </is>
      </c>
      <c r="C5" s="33" t="inlineStr"/>
      <c r="D5" s="32" t="n">
        <v>1800000000</v>
      </c>
      <c r="E5" s="33" t="n">
        <v>0</v>
      </c>
      <c r="F5" s="34" t="inlineStr">
        <is>
          <t>Mar-24 corporate collections ₹180 Cr — 71% above monthly avg. Verify counterparties.</t>
        </is>
      </c>
    </row>
    <row r="6" ht="32" customHeight="1">
      <c r="A6" s="35" t="inlineStr">
        <is>
          <t>⚠️ WARNING</t>
        </is>
      </c>
      <c r="B6" s="36" t="inlineStr">
        <is>
          <t>NCD Interest Coverage Concern</t>
        </is>
      </c>
      <c r="C6" s="37" t="inlineStr"/>
      <c r="D6" s="37" t="inlineStr"/>
      <c r="E6" s="37" t="n">
        <v>0</v>
      </c>
      <c r="F6" s="38" t="inlineStr">
        <is>
          <t>Monthly NCD interest outflow ₹36 Cr consistent but rising AUM may stress coverage.</t>
        </is>
      </c>
    </row>
    <row r="7" ht="32" customHeight="1">
      <c r="A7" s="35" t="inlineStr">
        <is>
          <t>⚠️ WARNING</t>
        </is>
      </c>
      <c r="B7" s="36" t="inlineStr">
        <is>
          <t>Festive Season Disbursement Spike — Oct &amp; Dec</t>
        </is>
      </c>
      <c r="C7" s="37" t="inlineStr"/>
      <c r="D7" s="37" t="inlineStr"/>
      <c r="E7" s="37" t="n">
        <v>0</v>
      </c>
      <c r="F7" s="38" t="inlineStr">
        <is>
          <t>Oct-23 &amp; Dec-23 disbursements 25% above avg. Verify asset quality of festive loans.</t>
        </is>
      </c>
    </row>
    <row r="8" ht="32" customHeight="1">
      <c r="A8" s="39" t="inlineStr">
        <is>
          <t>ℹ️ INFO</t>
        </is>
      </c>
      <c r="B8" s="40" t="inlineStr">
        <is>
          <t>GSTR-2A vs 3B ITC Mismatch Estimated</t>
        </is>
      </c>
      <c r="C8" s="41" t="inlineStr"/>
      <c r="D8" s="41" t="inlineStr"/>
      <c r="E8" s="41" t="n">
        <v>0</v>
      </c>
      <c r="F8" s="42" t="inlineStr">
        <is>
          <t>Based on GST payment patterns, estimated ITC mismatch ~₹8.2 Cr. Verify with GSTN.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2026-03-07T16:12:13Z</dcterms:created>
  <dcterms:modified xmlns:dcterms="http://purl.org/dc/terms/" xmlns:xsi="http://www.w3.org/2001/XMLSchema-instance" xsi:type="dcterms:W3CDTF">2026-03-07T16:12:13Z</dcterms:modified>
</cp:coreProperties>
</file>