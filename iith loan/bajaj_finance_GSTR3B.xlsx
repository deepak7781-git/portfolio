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FY2023-24" sheetId="1" state="visible" r:id="rId1"/>
    <sheet xmlns:r="http://schemas.openxmlformats.org/officeDocument/2006/relationships" name="GSTR-3B FY2022-23" sheetId="2" state="visible" r:id="rId2"/>
    <sheet xmlns:r="http://schemas.openxmlformats.org/officeDocument/2006/relationships" name="GSTR-2A vs 3B Recon" sheetId="3" state="visible" r:id="rId3"/>
    <sheet xmlns:r="http://schemas.openxmlformats.org/officeDocument/2006/relationships" name="ITC Brea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0&quot;%&quot;"/>
  </numFmts>
  <fonts count="13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b val="1"/>
      <color rgb="001A3C5E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color rgb="00000000"/>
      <sz val="9"/>
    </font>
    <font>
      <name val="Arial"/>
      <color rgb="00C00000"/>
      <sz val="9"/>
    </font>
    <font>
      <name val="Arial"/>
      <color rgb="00595959"/>
      <sz val="9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2FA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center" wrapText="1"/>
    </xf>
    <xf numFmtId="165" fontId="4" fillId="2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7" borderId="1" pivotButton="0" quotePrefix="0" xfId="0"/>
    <xf numFmtId="0" fontId="1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6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</cols>
  <sheetData>
    <row r="1" ht="28" customHeight="1">
      <c r="A1" s="1" t="inlineStr">
        <is>
          <t>FORM GSTR-3B — MONTHLY SUMMARY RETURN   |   BAJAJ FINANCE LIMITED   |   FY 2023-24</t>
        </is>
      </c>
    </row>
    <row r="2">
      <c r="A2" s="2" t="inlineStr">
        <is>
          <t>GSTIN</t>
        </is>
      </c>
      <c r="B2" s="3" t="inlineStr">
        <is>
          <t>27AABCB0067G1ZN</t>
        </is>
      </c>
    </row>
    <row r="3">
      <c r="A3" s="2" t="inlineStr">
        <is>
          <t>Legal Name</t>
        </is>
      </c>
      <c r="B3" s="3" t="inlineStr">
        <is>
          <t>Bajaj Finance Limited</t>
        </is>
      </c>
    </row>
    <row r="4">
      <c r="A4" s="2" t="inlineStr">
        <is>
          <t>Trade Name</t>
        </is>
      </c>
      <c r="B4" s="3" t="inlineStr">
        <is>
          <t>Bajaj Finance Limited</t>
        </is>
      </c>
    </row>
    <row r="5">
      <c r="A5" s="2" t="inlineStr">
        <is>
          <t>PAN</t>
        </is>
      </c>
      <c r="B5" s="3" t="inlineStr">
        <is>
          <t>AABCB0067G</t>
        </is>
      </c>
    </row>
    <row r="6">
      <c r="A6" s="2" t="inlineStr">
        <is>
          <t>State</t>
        </is>
      </c>
      <c r="B6" s="3" t="inlineStr">
        <is>
          <t>Maharashtra (27)</t>
        </is>
      </c>
    </row>
    <row r="7">
      <c r="A7" s="2" t="inlineStr">
        <is>
          <t>Return Period</t>
        </is>
      </c>
      <c r="B7" s="3" t="inlineStr">
        <is>
          <t>April 2023 — March 2024</t>
        </is>
      </c>
    </row>
    <row r="8">
      <c r="A8" s="2" t="inlineStr">
        <is>
          <t>Filing Status</t>
        </is>
      </c>
      <c r="B8" s="3" t="inlineStr">
        <is>
          <t>Filed</t>
        </is>
      </c>
    </row>
    <row r="9">
      <c r="A9" s="2" t="inlineStr">
        <is>
          <t>Category</t>
        </is>
      </c>
      <c r="B9" s="3" t="inlineStr">
        <is>
          <t>NBFC — Consumer &amp; SME Lending</t>
        </is>
      </c>
    </row>
    <row r="11" ht="32" customHeight="1">
      <c r="A11" s="4" t="inlineStr">
        <is>
          <t>Month</t>
        </is>
      </c>
      <c r="B11" s="4" t="inlineStr">
        <is>
          <t>Filing Date</t>
        </is>
      </c>
      <c r="C11" s="4" t="inlineStr">
        <is>
          <t>Taxable
Turnover (₹)</t>
        </is>
      </c>
      <c r="D11" s="4" t="inlineStr">
        <is>
          <t>Exempt
Supply (₹)</t>
        </is>
      </c>
      <c r="E11" s="4" t="inlineStr">
        <is>
          <t>IGST
Payable (₹)</t>
        </is>
      </c>
      <c r="F11" s="4" t="inlineStr">
        <is>
          <t>CGST
Payable (₹)</t>
        </is>
      </c>
      <c r="G11" s="4" t="inlineStr">
        <is>
          <t>SGST
Payable (₹)</t>
        </is>
      </c>
      <c r="H11" s="4" t="inlineStr">
        <is>
          <t>Total Tax
Payable (₹)</t>
        </is>
      </c>
      <c r="I11" s="4" t="inlineStr">
        <is>
          <t>ITC
Claimed (₹)</t>
        </is>
      </c>
      <c r="J11" s="4" t="inlineStr">
        <is>
          <t>Net Tax
Paid (₹)</t>
        </is>
      </c>
      <c r="K11" s="4" t="inlineStr">
        <is>
          <t>Late Fee (₹)</t>
        </is>
      </c>
      <c r="L11" s="4" t="inlineStr">
        <is>
          <t>Filing
Status</t>
        </is>
      </c>
    </row>
    <row r="12" ht="17" customHeight="1">
      <c r="A12" s="5" t="inlineStr">
        <is>
          <t>Apr-23</t>
        </is>
      </c>
      <c r="B12" s="6" t="inlineStr">
        <is>
          <t>18-May-23</t>
        </is>
      </c>
      <c r="C12" s="7" t="n">
        <v>3350000000</v>
      </c>
      <c r="D12" s="7" t="n">
        <v>180000000</v>
      </c>
      <c r="E12" s="7" t="n">
        <v>201000000</v>
      </c>
      <c r="F12" s="7" t="n">
        <v>100500000</v>
      </c>
      <c r="G12" s="7" t="n">
        <v>100500000</v>
      </c>
      <c r="H12" s="8" t="n">
        <v>402000000</v>
      </c>
      <c r="I12" s="9" t="n">
        <v>272000000</v>
      </c>
      <c r="J12" s="7" t="n">
        <v>130000000</v>
      </c>
      <c r="K12" s="7" t="n">
        <v>0</v>
      </c>
      <c r="L12" s="10" t="inlineStr">
        <is>
          <t>✓ Filed</t>
        </is>
      </c>
    </row>
    <row r="13" ht="17" customHeight="1">
      <c r="A13" s="11" t="inlineStr">
        <is>
          <t>May-23</t>
        </is>
      </c>
      <c r="B13" s="12" t="inlineStr">
        <is>
          <t>20-Jun-23</t>
        </is>
      </c>
      <c r="C13" s="13" t="n">
        <v>3480000000</v>
      </c>
      <c r="D13" s="13" t="n">
        <v>195000000</v>
      </c>
      <c r="E13" s="13" t="n">
        <v>208800000</v>
      </c>
      <c r="F13" s="13" t="n">
        <v>104400000</v>
      </c>
      <c r="G13" s="13" t="n">
        <v>104400000</v>
      </c>
      <c r="H13" s="14" t="n">
        <v>417600000</v>
      </c>
      <c r="I13" s="15" t="n">
        <v>283000000</v>
      </c>
      <c r="J13" s="13" t="n">
        <v>134600000</v>
      </c>
      <c r="K13" s="13" t="n">
        <v>0</v>
      </c>
      <c r="L13" s="10" t="inlineStr">
        <is>
          <t>✓ Filed</t>
        </is>
      </c>
    </row>
    <row r="14" ht="17" customHeight="1">
      <c r="A14" s="5" t="inlineStr">
        <is>
          <t>Jun-23</t>
        </is>
      </c>
      <c r="B14" s="6" t="inlineStr">
        <is>
          <t>22-Jul-23</t>
        </is>
      </c>
      <c r="C14" s="7" t="n">
        <v>3390000000</v>
      </c>
      <c r="D14" s="7" t="n">
        <v>188000000</v>
      </c>
      <c r="E14" s="7" t="n">
        <v>203400000</v>
      </c>
      <c r="F14" s="7" t="n">
        <v>101700000</v>
      </c>
      <c r="G14" s="7" t="n">
        <v>101700000</v>
      </c>
      <c r="H14" s="8" t="n">
        <v>406800000</v>
      </c>
      <c r="I14" s="9" t="n">
        <v>276000000</v>
      </c>
      <c r="J14" s="7" t="n">
        <v>130800000</v>
      </c>
      <c r="K14" s="7" t="n">
        <v>0</v>
      </c>
      <c r="L14" s="10" t="inlineStr">
        <is>
          <t>✓ Filed</t>
        </is>
      </c>
    </row>
    <row r="15" ht="17" customHeight="1">
      <c r="A15" s="11" t="inlineStr">
        <is>
          <t>Jul-23</t>
        </is>
      </c>
      <c r="B15" s="12" t="inlineStr">
        <is>
          <t>20-Aug-23</t>
        </is>
      </c>
      <c r="C15" s="13" t="n">
        <v>3520000000</v>
      </c>
      <c r="D15" s="13" t="n">
        <v>198000000</v>
      </c>
      <c r="E15" s="13" t="n">
        <v>211200000</v>
      </c>
      <c r="F15" s="13" t="n">
        <v>105600000</v>
      </c>
      <c r="G15" s="13" t="n">
        <v>105600000</v>
      </c>
      <c r="H15" s="14" t="n">
        <v>422400000</v>
      </c>
      <c r="I15" s="15" t="n">
        <v>286000000</v>
      </c>
      <c r="J15" s="13" t="n">
        <v>136400000</v>
      </c>
      <c r="K15" s="13" t="n">
        <v>0</v>
      </c>
      <c r="L15" s="10" t="inlineStr">
        <is>
          <t>✓ Filed</t>
        </is>
      </c>
    </row>
    <row r="16" ht="17" customHeight="1">
      <c r="A16" s="5" t="inlineStr">
        <is>
          <t>Aug-23</t>
        </is>
      </c>
      <c r="B16" s="6" t="inlineStr">
        <is>
          <t>18-Sep-23</t>
        </is>
      </c>
      <c r="C16" s="7" t="n">
        <v>3460000000</v>
      </c>
      <c r="D16" s="7" t="n">
        <v>192000000</v>
      </c>
      <c r="E16" s="7" t="n">
        <v>207600000</v>
      </c>
      <c r="F16" s="7" t="n">
        <v>103800000</v>
      </c>
      <c r="G16" s="7" t="n">
        <v>103800000</v>
      </c>
      <c r="H16" s="8" t="n">
        <v>415200000</v>
      </c>
      <c r="I16" s="9" t="n">
        <v>281000000</v>
      </c>
      <c r="J16" s="7" t="n">
        <v>134200000</v>
      </c>
      <c r="K16" s="7" t="n">
        <v>0</v>
      </c>
      <c r="L16" s="10" t="inlineStr">
        <is>
          <t>✓ Filed</t>
        </is>
      </c>
    </row>
    <row r="17" ht="17" customHeight="1">
      <c r="A17" s="11" t="inlineStr">
        <is>
          <t>Sep-23</t>
        </is>
      </c>
      <c r="B17" s="12" t="inlineStr">
        <is>
          <t>20-Oct-23</t>
        </is>
      </c>
      <c r="C17" s="13" t="n">
        <v>3580000000</v>
      </c>
      <c r="D17" s="13" t="n">
        <v>205000000</v>
      </c>
      <c r="E17" s="13" t="n">
        <v>214800000</v>
      </c>
      <c r="F17" s="13" t="n">
        <v>107400000</v>
      </c>
      <c r="G17" s="13" t="n">
        <v>107400000</v>
      </c>
      <c r="H17" s="14" t="n">
        <v>429600000</v>
      </c>
      <c r="I17" s="15" t="n">
        <v>292000000</v>
      </c>
      <c r="J17" s="13" t="n">
        <v>137600000</v>
      </c>
      <c r="K17" s="13" t="n">
        <v>0</v>
      </c>
      <c r="L17" s="10" t="inlineStr">
        <is>
          <t>✓ Filed</t>
        </is>
      </c>
    </row>
    <row r="18" ht="17" customHeight="1">
      <c r="A18" s="5" t="inlineStr">
        <is>
          <t>Oct-23</t>
        </is>
      </c>
      <c r="B18" s="6" t="inlineStr">
        <is>
          <t>18-Nov-23</t>
        </is>
      </c>
      <c r="C18" s="7" t="n">
        <v>3640000000</v>
      </c>
      <c r="D18" s="7" t="n">
        <v>210000000</v>
      </c>
      <c r="E18" s="7" t="n">
        <v>218400000</v>
      </c>
      <c r="F18" s="7" t="n">
        <v>109200000</v>
      </c>
      <c r="G18" s="7" t="n">
        <v>109200000</v>
      </c>
      <c r="H18" s="8" t="n">
        <v>436800000</v>
      </c>
      <c r="I18" s="9" t="n">
        <v>297000000</v>
      </c>
      <c r="J18" s="7" t="n">
        <v>139800000</v>
      </c>
      <c r="K18" s="7" t="n">
        <v>0</v>
      </c>
      <c r="L18" s="10" t="inlineStr">
        <is>
          <t>✓ Filed</t>
        </is>
      </c>
    </row>
    <row r="19" ht="17" customHeight="1">
      <c r="A19" s="11" t="inlineStr">
        <is>
          <t>Nov-23</t>
        </is>
      </c>
      <c r="B19" s="12" t="inlineStr">
        <is>
          <t>20-Dec-23</t>
        </is>
      </c>
      <c r="C19" s="13" t="n">
        <v>3700000000</v>
      </c>
      <c r="D19" s="13" t="n">
        <v>215000000</v>
      </c>
      <c r="E19" s="13" t="n">
        <v>222000000</v>
      </c>
      <c r="F19" s="13" t="n">
        <v>111000000</v>
      </c>
      <c r="G19" s="13" t="n">
        <v>111000000</v>
      </c>
      <c r="H19" s="14" t="n">
        <v>444000000</v>
      </c>
      <c r="I19" s="15" t="n">
        <v>302000000</v>
      </c>
      <c r="J19" s="13" t="n">
        <v>142000000</v>
      </c>
      <c r="K19" s="13" t="n">
        <v>0</v>
      </c>
      <c r="L19" s="10" t="inlineStr">
        <is>
          <t>✓ Filed</t>
        </is>
      </c>
    </row>
    <row r="20" ht="17" customHeight="1">
      <c r="A20" s="5" t="inlineStr">
        <is>
          <t>Dec-23</t>
        </is>
      </c>
      <c r="B20" s="6" t="inlineStr">
        <is>
          <t>22-Jan-24</t>
        </is>
      </c>
      <c r="C20" s="7" t="n">
        <v>3820000000</v>
      </c>
      <c r="D20" s="7" t="n">
        <v>225000000</v>
      </c>
      <c r="E20" s="7" t="n">
        <v>229200000</v>
      </c>
      <c r="F20" s="7" t="n">
        <v>114600000</v>
      </c>
      <c r="G20" s="7" t="n">
        <v>114600000</v>
      </c>
      <c r="H20" s="8" t="n">
        <v>458400000</v>
      </c>
      <c r="I20" s="9" t="n">
        <v>312000000</v>
      </c>
      <c r="J20" s="7" t="n">
        <v>146400000</v>
      </c>
      <c r="K20" s="7" t="n">
        <v>0</v>
      </c>
      <c r="L20" s="10" t="inlineStr">
        <is>
          <t>✓ Filed</t>
        </is>
      </c>
    </row>
    <row r="21" ht="17" customHeight="1">
      <c r="A21" s="11" t="inlineStr">
        <is>
          <t>Jan-24</t>
        </is>
      </c>
      <c r="B21" s="12" t="inlineStr">
        <is>
          <t>20-Feb-24</t>
        </is>
      </c>
      <c r="C21" s="13" t="n">
        <v>3760000000</v>
      </c>
      <c r="D21" s="13" t="n">
        <v>218000000</v>
      </c>
      <c r="E21" s="13" t="n">
        <v>225600000</v>
      </c>
      <c r="F21" s="13" t="n">
        <v>112800000</v>
      </c>
      <c r="G21" s="13" t="n">
        <v>112800000</v>
      </c>
      <c r="H21" s="14" t="n">
        <v>451200000</v>
      </c>
      <c r="I21" s="15" t="n">
        <v>307000000</v>
      </c>
      <c r="J21" s="13" t="n">
        <v>144200000</v>
      </c>
      <c r="K21" s="13" t="n">
        <v>0</v>
      </c>
      <c r="L21" s="10" t="inlineStr">
        <is>
          <t>✓ Filed</t>
        </is>
      </c>
    </row>
    <row r="22" ht="17" customHeight="1">
      <c r="A22" s="5" t="inlineStr">
        <is>
          <t>Feb-24</t>
        </is>
      </c>
      <c r="B22" s="6" t="inlineStr">
        <is>
          <t>20-Mar-24</t>
        </is>
      </c>
      <c r="C22" s="7" t="n">
        <v>3690000000</v>
      </c>
      <c r="D22" s="7" t="n">
        <v>212000000</v>
      </c>
      <c r="E22" s="7" t="n">
        <v>221400000</v>
      </c>
      <c r="F22" s="7" t="n">
        <v>110700000</v>
      </c>
      <c r="G22" s="7" t="n">
        <v>110700000</v>
      </c>
      <c r="H22" s="8" t="n">
        <v>442800000</v>
      </c>
      <c r="I22" s="9" t="n">
        <v>301000000</v>
      </c>
      <c r="J22" s="7" t="n">
        <v>141800000</v>
      </c>
      <c r="K22" s="7" t="n">
        <v>0</v>
      </c>
      <c r="L22" s="10" t="inlineStr">
        <is>
          <t>✓ Filed</t>
        </is>
      </c>
    </row>
    <row r="23" ht="17" customHeight="1">
      <c r="A23" s="11" t="inlineStr">
        <is>
          <t>Mar-24</t>
        </is>
      </c>
      <c r="B23" s="12" t="inlineStr">
        <is>
          <t>22-Apr-24</t>
        </is>
      </c>
      <c r="C23" s="13" t="n">
        <v>3810000000</v>
      </c>
      <c r="D23" s="13" t="n">
        <v>222000000</v>
      </c>
      <c r="E23" s="13" t="n">
        <v>228600000</v>
      </c>
      <c r="F23" s="13" t="n">
        <v>114300000</v>
      </c>
      <c r="G23" s="13" t="n">
        <v>114300000</v>
      </c>
      <c r="H23" s="14" t="n">
        <v>457200000</v>
      </c>
      <c r="I23" s="15" t="n">
        <v>311000000</v>
      </c>
      <c r="J23" s="13" t="n">
        <v>146200000</v>
      </c>
      <c r="K23" s="13" t="n">
        <v>0</v>
      </c>
      <c r="L23" s="10" t="inlineStr">
        <is>
          <t>✓ Filed</t>
        </is>
      </c>
    </row>
    <row r="24" ht="20" customHeight="1">
      <c r="A24" s="16" t="inlineStr">
        <is>
          <t>ANNUAL TOTAL</t>
        </is>
      </c>
      <c r="B24" s="17" t="inlineStr">
        <is>
          <t>FY 2023-24</t>
        </is>
      </c>
      <c r="C24" s="18">
        <f>SUM(C12:C23)</f>
        <v/>
      </c>
      <c r="D24" s="18">
        <f>SUM(D12:D23)</f>
        <v/>
      </c>
      <c r="E24" s="18">
        <f>SUM(E12:E23)</f>
        <v/>
      </c>
      <c r="F24" s="18">
        <f>SUM(F12:F23)</f>
        <v/>
      </c>
      <c r="G24" s="18">
        <f>SUM(G12:G23)</f>
        <v/>
      </c>
      <c r="H24" s="18">
        <f>SUM(H12:H23)</f>
        <v/>
      </c>
      <c r="I24" s="18">
        <f>SUM(I12:I23)</f>
        <v/>
      </c>
      <c r="J24" s="18">
        <f>SUM(J12:J23)</f>
        <v/>
      </c>
      <c r="K24" s="18">
        <f>SUM(K12:K23)</f>
        <v/>
      </c>
      <c r="L24" s="17" t="inlineStr">
        <is>
          <t>12/12 Filed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6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</cols>
  <sheetData>
    <row r="1" ht="28" customHeight="1">
      <c r="A1" s="1" t="inlineStr">
        <is>
          <t>FORM GSTR-3B — MONTHLY SUMMARY RETURN   |   BAJAJ FINANCE LIMITED   |   FY 2022-23</t>
        </is>
      </c>
    </row>
    <row r="3">
      <c r="A3" s="4" t="inlineStr">
        <is>
          <t>Month</t>
        </is>
      </c>
      <c r="B3" s="4" t="inlineStr">
        <is>
          <t>Filing Date</t>
        </is>
      </c>
      <c r="C3" s="4" t="inlineStr">
        <is>
          <t>Taxable
Turnover (₹)</t>
        </is>
      </c>
      <c r="D3" s="4" t="inlineStr">
        <is>
          <t>Exempt
Supply (₹)</t>
        </is>
      </c>
      <c r="E3" s="4" t="inlineStr">
        <is>
          <t>IGST
Payable (₹)</t>
        </is>
      </c>
      <c r="F3" s="4" t="inlineStr">
        <is>
          <t>CGST
Payable (₹)</t>
        </is>
      </c>
      <c r="G3" s="4" t="inlineStr">
        <is>
          <t>SGST
Payable (₹)</t>
        </is>
      </c>
      <c r="H3" s="4" t="inlineStr">
        <is>
          <t>Total Tax
Payable (₹)</t>
        </is>
      </c>
      <c r="I3" s="4" t="inlineStr">
        <is>
          <t>ITC
Claimed (₹)</t>
        </is>
      </c>
      <c r="J3" s="4" t="inlineStr">
        <is>
          <t>Net Tax
Paid (₹)</t>
        </is>
      </c>
      <c r="K3" s="4" t="inlineStr">
        <is>
          <t>Late Fee (₹)</t>
        </is>
      </c>
      <c r="L3" s="4" t="inlineStr">
        <is>
          <t>Filing
Status</t>
        </is>
      </c>
    </row>
    <row r="4" ht="17" customHeight="1">
      <c r="A4" s="5" t="inlineStr">
        <is>
          <t>Apr-22</t>
        </is>
      </c>
      <c r="B4" s="6" t="inlineStr">
        <is>
          <t>18-May-22</t>
        </is>
      </c>
      <c r="C4" s="7" t="n">
        <v>2820000000</v>
      </c>
      <c r="D4" s="7" t="n">
        <v>155000000</v>
      </c>
      <c r="E4" s="7" t="n">
        <v>169200000</v>
      </c>
      <c r="F4" s="7" t="n">
        <v>84600000</v>
      </c>
      <c r="G4" s="7" t="n">
        <v>84600000</v>
      </c>
      <c r="H4" s="8" t="n">
        <v>338400000</v>
      </c>
      <c r="I4" s="8" t="n">
        <v>230000000</v>
      </c>
      <c r="J4" s="7" t="n">
        <v>108400000</v>
      </c>
      <c r="K4" s="19" t="n">
        <v>0</v>
      </c>
      <c r="L4" s="10" t="inlineStr">
        <is>
          <t>✓ Filed</t>
        </is>
      </c>
    </row>
    <row r="5" ht="17" customHeight="1">
      <c r="A5" s="11" t="inlineStr">
        <is>
          <t>May-22</t>
        </is>
      </c>
      <c r="B5" s="12" t="inlineStr">
        <is>
          <t>20-Jun-22</t>
        </is>
      </c>
      <c r="C5" s="13" t="n">
        <v>2940000000</v>
      </c>
      <c r="D5" s="13" t="n">
        <v>162000000</v>
      </c>
      <c r="E5" s="13" t="n">
        <v>176400000</v>
      </c>
      <c r="F5" s="13" t="n">
        <v>88200000</v>
      </c>
      <c r="G5" s="13" t="n">
        <v>88200000</v>
      </c>
      <c r="H5" s="14" t="n">
        <v>352800000</v>
      </c>
      <c r="I5" s="14" t="n">
        <v>240000000</v>
      </c>
      <c r="J5" s="13" t="n">
        <v>112800000</v>
      </c>
      <c r="K5" s="20" t="n">
        <v>0</v>
      </c>
      <c r="L5" s="10" t="inlineStr">
        <is>
          <t>✓ Filed</t>
        </is>
      </c>
    </row>
    <row r="6" ht="17" customHeight="1">
      <c r="A6" s="5" t="inlineStr">
        <is>
          <t>Jun-22</t>
        </is>
      </c>
      <c r="B6" s="6" t="inlineStr">
        <is>
          <t>20-Jul-22</t>
        </is>
      </c>
      <c r="C6" s="7" t="n">
        <v>2860000000</v>
      </c>
      <c r="D6" s="7" t="n">
        <v>158000000</v>
      </c>
      <c r="E6" s="7" t="n">
        <v>171600000</v>
      </c>
      <c r="F6" s="7" t="n">
        <v>85800000</v>
      </c>
      <c r="G6" s="7" t="n">
        <v>85800000</v>
      </c>
      <c r="H6" s="8" t="n">
        <v>343200000</v>
      </c>
      <c r="I6" s="8" t="n">
        <v>233000000</v>
      </c>
      <c r="J6" s="7" t="n">
        <v>110200000</v>
      </c>
      <c r="K6" s="19" t="n">
        <v>0</v>
      </c>
      <c r="L6" s="10" t="inlineStr">
        <is>
          <t>✓ Filed</t>
        </is>
      </c>
    </row>
    <row r="7" ht="17" customHeight="1">
      <c r="A7" s="11" t="inlineStr">
        <is>
          <t>Jul-22</t>
        </is>
      </c>
      <c r="B7" s="12" t="inlineStr">
        <is>
          <t>22-Aug-22</t>
        </is>
      </c>
      <c r="C7" s="13" t="n">
        <v>2980000000</v>
      </c>
      <c r="D7" s="13" t="n">
        <v>165000000</v>
      </c>
      <c r="E7" s="13" t="n">
        <v>178800000</v>
      </c>
      <c r="F7" s="13" t="n">
        <v>89400000</v>
      </c>
      <c r="G7" s="13" t="n">
        <v>89400000</v>
      </c>
      <c r="H7" s="14" t="n">
        <v>357600000</v>
      </c>
      <c r="I7" s="14" t="n">
        <v>243000000</v>
      </c>
      <c r="J7" s="13" t="n">
        <v>114600000</v>
      </c>
      <c r="K7" s="20" t="n">
        <v>0</v>
      </c>
      <c r="L7" s="10" t="inlineStr">
        <is>
          <t>✓ Filed</t>
        </is>
      </c>
    </row>
    <row r="8" ht="17" customHeight="1">
      <c r="A8" s="5" t="inlineStr">
        <is>
          <t>Aug-22</t>
        </is>
      </c>
      <c r="B8" s="6" t="inlineStr">
        <is>
          <t>20-Sep-22</t>
        </is>
      </c>
      <c r="C8" s="7" t="n">
        <v>2910000000</v>
      </c>
      <c r="D8" s="7" t="n">
        <v>160000000</v>
      </c>
      <c r="E8" s="7" t="n">
        <v>174600000</v>
      </c>
      <c r="F8" s="7" t="n">
        <v>87300000</v>
      </c>
      <c r="G8" s="7" t="n">
        <v>87300000</v>
      </c>
      <c r="H8" s="8" t="n">
        <v>349200000</v>
      </c>
      <c r="I8" s="8" t="n">
        <v>238000000</v>
      </c>
      <c r="J8" s="7" t="n">
        <v>111200000</v>
      </c>
      <c r="K8" s="19" t="n">
        <v>0</v>
      </c>
      <c r="L8" s="10" t="inlineStr">
        <is>
          <t>✓ Filed</t>
        </is>
      </c>
    </row>
    <row r="9" ht="17" customHeight="1">
      <c r="A9" s="11" t="inlineStr">
        <is>
          <t>Sep-22</t>
        </is>
      </c>
      <c r="B9" s="12" t="inlineStr">
        <is>
          <t>20-Oct-22</t>
        </is>
      </c>
      <c r="C9" s="13" t="n">
        <v>3020000000</v>
      </c>
      <c r="D9" s="13" t="n">
        <v>168000000</v>
      </c>
      <c r="E9" s="13" t="n">
        <v>181200000</v>
      </c>
      <c r="F9" s="13" t="n">
        <v>90600000</v>
      </c>
      <c r="G9" s="13" t="n">
        <v>90600000</v>
      </c>
      <c r="H9" s="14" t="n">
        <v>362400000</v>
      </c>
      <c r="I9" s="14" t="n">
        <v>247000000</v>
      </c>
      <c r="J9" s="13" t="n">
        <v>115400000</v>
      </c>
      <c r="K9" s="20" t="n">
        <v>0</v>
      </c>
      <c r="L9" s="10" t="inlineStr">
        <is>
          <t>✓ Filed</t>
        </is>
      </c>
    </row>
    <row r="10" ht="17" customHeight="1">
      <c r="A10" s="5" t="inlineStr">
        <is>
          <t>Oct-22</t>
        </is>
      </c>
      <c r="B10" s="6" t="inlineStr">
        <is>
          <t>18-Nov-22</t>
        </is>
      </c>
      <c r="C10" s="7" t="n">
        <v>3080000000</v>
      </c>
      <c r="D10" s="7" t="n">
        <v>172000000</v>
      </c>
      <c r="E10" s="7" t="n">
        <v>184800000</v>
      </c>
      <c r="F10" s="7" t="n">
        <v>92400000</v>
      </c>
      <c r="G10" s="7" t="n">
        <v>92400000</v>
      </c>
      <c r="H10" s="8" t="n">
        <v>369600000</v>
      </c>
      <c r="I10" s="8" t="n">
        <v>252000000</v>
      </c>
      <c r="J10" s="7" t="n">
        <v>117600000</v>
      </c>
      <c r="K10" s="19" t="n">
        <v>0</v>
      </c>
      <c r="L10" s="10" t="inlineStr">
        <is>
          <t>✓ Filed</t>
        </is>
      </c>
    </row>
    <row r="11" ht="17" customHeight="1">
      <c r="A11" s="11" t="inlineStr">
        <is>
          <t>Nov-22</t>
        </is>
      </c>
      <c r="B11" s="12" t="inlineStr">
        <is>
          <t>20-Dec-22</t>
        </is>
      </c>
      <c r="C11" s="13" t="n">
        <v>3140000000</v>
      </c>
      <c r="D11" s="13" t="n">
        <v>175000000</v>
      </c>
      <c r="E11" s="13" t="n">
        <v>188400000</v>
      </c>
      <c r="F11" s="13" t="n">
        <v>94200000</v>
      </c>
      <c r="G11" s="13" t="n">
        <v>94200000</v>
      </c>
      <c r="H11" s="14" t="n">
        <v>376800000</v>
      </c>
      <c r="I11" s="14" t="n">
        <v>257000000</v>
      </c>
      <c r="J11" s="13" t="n">
        <v>119800000</v>
      </c>
      <c r="K11" s="20" t="n">
        <v>0</v>
      </c>
      <c r="L11" s="10" t="inlineStr">
        <is>
          <t>✓ Filed</t>
        </is>
      </c>
    </row>
    <row r="12" ht="17" customHeight="1">
      <c r="A12" s="5" t="inlineStr">
        <is>
          <t>Dec-22</t>
        </is>
      </c>
      <c r="B12" s="6" t="inlineStr">
        <is>
          <t>22-Jan-23</t>
        </is>
      </c>
      <c r="C12" s="7" t="n">
        <v>3260000000</v>
      </c>
      <c r="D12" s="7" t="n">
        <v>182000000</v>
      </c>
      <c r="E12" s="7" t="n">
        <v>195600000</v>
      </c>
      <c r="F12" s="7" t="n">
        <v>97800000</v>
      </c>
      <c r="G12" s="7" t="n">
        <v>97800000</v>
      </c>
      <c r="H12" s="8" t="n">
        <v>391200000</v>
      </c>
      <c r="I12" s="8" t="n">
        <v>267000000</v>
      </c>
      <c r="J12" s="7" t="n">
        <v>124200000</v>
      </c>
      <c r="K12" s="19" t="n">
        <v>0</v>
      </c>
      <c r="L12" s="10" t="inlineStr">
        <is>
          <t>✓ Filed</t>
        </is>
      </c>
    </row>
    <row r="13" ht="17" customHeight="1">
      <c r="A13" s="11" t="inlineStr">
        <is>
          <t>Jan-23</t>
        </is>
      </c>
      <c r="B13" s="12" t="inlineStr">
        <is>
          <t>20-Feb-23</t>
        </is>
      </c>
      <c r="C13" s="13" t="n">
        <v>3180000000</v>
      </c>
      <c r="D13" s="13" t="n">
        <v>176000000</v>
      </c>
      <c r="E13" s="13" t="n">
        <v>190800000</v>
      </c>
      <c r="F13" s="13" t="n">
        <v>95400000</v>
      </c>
      <c r="G13" s="13" t="n">
        <v>95400000</v>
      </c>
      <c r="H13" s="14" t="n">
        <v>381600000</v>
      </c>
      <c r="I13" s="14" t="n">
        <v>260000000</v>
      </c>
      <c r="J13" s="13" t="n">
        <v>121600000</v>
      </c>
      <c r="K13" s="20" t="n">
        <v>0</v>
      </c>
      <c r="L13" s="10" t="inlineStr">
        <is>
          <t>✓ Filed</t>
        </is>
      </c>
    </row>
    <row r="14" ht="17" customHeight="1">
      <c r="A14" s="5" t="inlineStr">
        <is>
          <t>Feb-23</t>
        </is>
      </c>
      <c r="B14" s="6" t="inlineStr">
        <is>
          <t>20-Mar-23</t>
        </is>
      </c>
      <c r="C14" s="7" t="n">
        <v>3100000000</v>
      </c>
      <c r="D14" s="7" t="n">
        <v>172000000</v>
      </c>
      <c r="E14" s="7" t="n">
        <v>186000000</v>
      </c>
      <c r="F14" s="7" t="n">
        <v>93000000</v>
      </c>
      <c r="G14" s="7" t="n">
        <v>93000000</v>
      </c>
      <c r="H14" s="8" t="n">
        <v>372000000</v>
      </c>
      <c r="I14" s="8" t="n">
        <v>254000000</v>
      </c>
      <c r="J14" s="7" t="n">
        <v>118000000</v>
      </c>
      <c r="K14" s="19" t="n">
        <v>0</v>
      </c>
      <c r="L14" s="10" t="inlineStr">
        <is>
          <t>✓ Filed</t>
        </is>
      </c>
    </row>
    <row r="15" ht="17" customHeight="1">
      <c r="A15" s="11" t="inlineStr">
        <is>
          <t>Mar-23</t>
        </is>
      </c>
      <c r="B15" s="12" t="inlineStr">
        <is>
          <t>22-Apr-23</t>
        </is>
      </c>
      <c r="C15" s="13" t="n">
        <v>3800000000</v>
      </c>
      <c r="D15" s="13" t="n">
        <v>215000000</v>
      </c>
      <c r="E15" s="13" t="n">
        <v>228000000</v>
      </c>
      <c r="F15" s="13" t="n">
        <v>114000000</v>
      </c>
      <c r="G15" s="13" t="n">
        <v>114000000</v>
      </c>
      <c r="H15" s="14" t="n">
        <v>456000000</v>
      </c>
      <c r="I15" s="14" t="n">
        <v>312000000</v>
      </c>
      <c r="J15" s="13" t="n">
        <v>144000000</v>
      </c>
      <c r="K15" s="20" t="n">
        <v>0</v>
      </c>
      <c r="L15" s="10" t="inlineStr">
        <is>
          <t>✓ Filed</t>
        </is>
      </c>
    </row>
    <row r="16">
      <c r="A16" s="21" t="inlineStr">
        <is>
          <t>ANNUAL 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18">
        <f>SUM(E4:E15)</f>
        <v/>
      </c>
      <c r="F16" s="18">
        <f>SUM(F4:F15)</f>
        <v/>
      </c>
      <c r="G16" s="18">
        <f>SUM(G4:G15)</f>
        <v/>
      </c>
      <c r="H16" s="18">
        <f>SUM(H4:H15)</f>
        <v/>
      </c>
      <c r="I16" s="18">
        <f>SUM(I4:I15)</f>
        <v/>
      </c>
      <c r="J16" s="18">
        <f>SUM(J4:J15)</f>
        <v/>
      </c>
      <c r="K16" s="18">
        <f>SUM(K4:K15)</f>
        <v/>
      </c>
      <c r="L16" s="17" t="inlineStr">
        <is>
          <t>12/12 Filed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30" customWidth="1" min="7" max="7"/>
  </cols>
  <sheetData>
    <row r="1" ht="28" customHeight="1">
      <c r="A1" s="22" t="inlineStr">
        <is>
          <t>GSTR-2A vs GSTR-3B RECONCILIATION — BAJAJ FINANCE LTD — FY 2023-24</t>
        </is>
      </c>
    </row>
    <row r="3">
      <c r="A3" s="4" t="inlineStr">
        <is>
          <t>Month</t>
        </is>
      </c>
      <c r="B3" s="4" t="inlineStr">
        <is>
          <t>ITC as per
GSTR-2A (₹)</t>
        </is>
      </c>
      <c r="C3" s="4" t="inlineStr">
        <is>
          <t>ITC Claimed
in 3B (₹)</t>
        </is>
      </c>
      <c r="D3" s="4" t="inlineStr">
        <is>
          <t>Difference
(₹)</t>
        </is>
      </c>
      <c r="E3" s="4" t="inlineStr">
        <is>
          <t>Diff %</t>
        </is>
      </c>
      <c r="F3" s="4" t="inlineStr">
        <is>
          <t>Status</t>
        </is>
      </c>
      <c r="G3" s="4" t="inlineStr">
        <is>
          <t>Remarks</t>
        </is>
      </c>
    </row>
    <row r="4" ht="17" customHeight="1">
      <c r="A4" s="23" t="inlineStr">
        <is>
          <t>Apr-23</t>
        </is>
      </c>
      <c r="B4" s="24" t="n">
        <v>261000000</v>
      </c>
      <c r="C4" s="24" t="n">
        <v>272000000</v>
      </c>
      <c r="D4" s="25" t="n">
        <v>11000000</v>
      </c>
      <c r="E4" s="26" t="n">
        <v>4.21</v>
      </c>
      <c r="F4" s="23" t="inlineStr">
        <is>
          <t>⚠️ REVIEW</t>
        </is>
      </c>
      <c r="G4" s="27" t="inlineStr">
        <is>
          <t>Monitor closely</t>
        </is>
      </c>
    </row>
    <row r="5" ht="17" customHeight="1">
      <c r="A5" s="23" t="inlineStr">
        <is>
          <t>May-23</t>
        </is>
      </c>
      <c r="B5" s="24" t="n">
        <v>271000000</v>
      </c>
      <c r="C5" s="24" t="n">
        <v>283000000</v>
      </c>
      <c r="D5" s="25" t="n">
        <v>12000000</v>
      </c>
      <c r="E5" s="26" t="n">
        <v>4.43</v>
      </c>
      <c r="F5" s="23" t="inlineStr">
        <is>
          <t>⚠️ REVIEW</t>
        </is>
      </c>
      <c r="G5" s="27" t="inlineStr">
        <is>
          <t>Monitor closely</t>
        </is>
      </c>
    </row>
    <row r="6" ht="17" customHeight="1">
      <c r="A6" s="23" t="inlineStr">
        <is>
          <t>Jun-23</t>
        </is>
      </c>
      <c r="B6" s="24" t="n">
        <v>264000000</v>
      </c>
      <c r="C6" s="24" t="n">
        <v>276000000</v>
      </c>
      <c r="D6" s="25" t="n">
        <v>12000000</v>
      </c>
      <c r="E6" s="26" t="n">
        <v>4.55</v>
      </c>
      <c r="F6" s="23" t="inlineStr">
        <is>
          <t>⚠️ REVIEW</t>
        </is>
      </c>
      <c r="G6" s="27" t="inlineStr">
        <is>
          <t>Monitor closely</t>
        </is>
      </c>
    </row>
    <row r="7" ht="17" customHeight="1">
      <c r="A7" s="23" t="inlineStr">
        <is>
          <t>Jul-23</t>
        </is>
      </c>
      <c r="B7" s="24" t="n">
        <v>274000000</v>
      </c>
      <c r="C7" s="24" t="n">
        <v>286000000</v>
      </c>
      <c r="D7" s="25" t="n">
        <v>12000000</v>
      </c>
      <c r="E7" s="26" t="n">
        <v>4.38</v>
      </c>
      <c r="F7" s="23" t="inlineStr">
        <is>
          <t>⚠️ REVIEW</t>
        </is>
      </c>
      <c r="G7" s="27" t="inlineStr">
        <is>
          <t>Monitor closely</t>
        </is>
      </c>
    </row>
    <row r="8" ht="17" customHeight="1">
      <c r="A8" s="23" t="inlineStr">
        <is>
          <t>Aug-23</t>
        </is>
      </c>
      <c r="B8" s="24" t="n">
        <v>269000000</v>
      </c>
      <c r="C8" s="24" t="n">
        <v>281000000</v>
      </c>
      <c r="D8" s="25" t="n">
        <v>12000000</v>
      </c>
      <c r="E8" s="26" t="n">
        <v>4.46</v>
      </c>
      <c r="F8" s="23" t="inlineStr">
        <is>
          <t>⚠️ REVIEW</t>
        </is>
      </c>
      <c r="G8" s="27" t="inlineStr">
        <is>
          <t>Monitor closely</t>
        </is>
      </c>
    </row>
    <row r="9" ht="17" customHeight="1">
      <c r="A9" s="23" t="inlineStr">
        <is>
          <t>Sep-23</t>
        </is>
      </c>
      <c r="B9" s="24" t="n">
        <v>279000000</v>
      </c>
      <c r="C9" s="24" t="n">
        <v>292000000</v>
      </c>
      <c r="D9" s="25" t="n">
        <v>13000000</v>
      </c>
      <c r="E9" s="26" t="n">
        <v>4.66</v>
      </c>
      <c r="F9" s="23" t="inlineStr">
        <is>
          <t>⚠️ REVIEW</t>
        </is>
      </c>
      <c r="G9" s="27" t="inlineStr">
        <is>
          <t>Monitor closely</t>
        </is>
      </c>
    </row>
    <row r="10" ht="17" customHeight="1">
      <c r="A10" s="23" t="inlineStr">
        <is>
          <t>Oct-23</t>
        </is>
      </c>
      <c r="B10" s="24" t="n">
        <v>284000000</v>
      </c>
      <c r="C10" s="24" t="n">
        <v>297000000</v>
      </c>
      <c r="D10" s="25" t="n">
        <v>13000000</v>
      </c>
      <c r="E10" s="26" t="n">
        <v>4.58</v>
      </c>
      <c r="F10" s="23" t="inlineStr">
        <is>
          <t>⚠️ REVIEW</t>
        </is>
      </c>
      <c r="G10" s="27" t="inlineStr">
        <is>
          <t>Monitor closely</t>
        </is>
      </c>
    </row>
    <row r="11" ht="17" customHeight="1">
      <c r="A11" s="23" t="inlineStr">
        <is>
          <t>Nov-23</t>
        </is>
      </c>
      <c r="B11" s="24" t="n">
        <v>289000000</v>
      </c>
      <c r="C11" s="24" t="n">
        <v>302000000</v>
      </c>
      <c r="D11" s="25" t="n">
        <v>13000000</v>
      </c>
      <c r="E11" s="26" t="n">
        <v>4.5</v>
      </c>
      <c r="F11" s="23" t="inlineStr">
        <is>
          <t>⚠️ REVIEW</t>
        </is>
      </c>
      <c r="G11" s="27" t="inlineStr">
        <is>
          <t>Monitor closely</t>
        </is>
      </c>
    </row>
    <row r="12" ht="17" customHeight="1">
      <c r="A12" s="23" t="inlineStr">
        <is>
          <t>Dec-23</t>
        </is>
      </c>
      <c r="B12" s="24" t="n">
        <v>298000000</v>
      </c>
      <c r="C12" s="24" t="n">
        <v>312000000</v>
      </c>
      <c r="D12" s="25" t="n">
        <v>14000000</v>
      </c>
      <c r="E12" s="26" t="n">
        <v>4.7</v>
      </c>
      <c r="F12" s="23" t="inlineStr">
        <is>
          <t>⚠️ REVIEW</t>
        </is>
      </c>
      <c r="G12" s="27" t="inlineStr">
        <is>
          <t>Monitor closely</t>
        </is>
      </c>
    </row>
    <row r="13" ht="17" customHeight="1">
      <c r="A13" s="23" t="inlineStr">
        <is>
          <t>Jan-24</t>
        </is>
      </c>
      <c r="B13" s="24" t="n">
        <v>293000000</v>
      </c>
      <c r="C13" s="24" t="n">
        <v>307000000</v>
      </c>
      <c r="D13" s="25" t="n">
        <v>14000000</v>
      </c>
      <c r="E13" s="26" t="n">
        <v>4.78</v>
      </c>
      <c r="F13" s="23" t="inlineStr">
        <is>
          <t>⚠️ REVIEW</t>
        </is>
      </c>
      <c r="G13" s="27" t="inlineStr">
        <is>
          <t>Monitor closely</t>
        </is>
      </c>
    </row>
    <row r="14" ht="17" customHeight="1">
      <c r="A14" s="23" t="inlineStr">
        <is>
          <t>Feb-24</t>
        </is>
      </c>
      <c r="B14" s="24" t="n">
        <v>288000000</v>
      </c>
      <c r="C14" s="24" t="n">
        <v>301000000</v>
      </c>
      <c r="D14" s="25" t="n">
        <v>13000000</v>
      </c>
      <c r="E14" s="26" t="n">
        <v>4.51</v>
      </c>
      <c r="F14" s="23" t="inlineStr">
        <is>
          <t>⚠️ REVIEW</t>
        </is>
      </c>
      <c r="G14" s="27" t="inlineStr">
        <is>
          <t>Monitor closely</t>
        </is>
      </c>
    </row>
    <row r="15" ht="17" customHeight="1">
      <c r="A15" s="23" t="inlineStr">
        <is>
          <t>Mar-24</t>
        </is>
      </c>
      <c r="B15" s="24" t="n">
        <v>297000000</v>
      </c>
      <c r="C15" s="24" t="n">
        <v>311000000</v>
      </c>
      <c r="D15" s="25" t="n">
        <v>14000000</v>
      </c>
      <c r="E15" s="26" t="n">
        <v>4.71</v>
      </c>
      <c r="F15" s="23" t="inlineStr">
        <is>
          <t>⚠️ REVIEW</t>
        </is>
      </c>
      <c r="G15" s="27" t="inlineStr">
        <is>
          <t>Monitor closely</t>
        </is>
      </c>
    </row>
    <row r="16" ht="20" customHeight="1">
      <c r="A16" s="21" t="inlineStr">
        <is>
          <t>TOTAL</t>
        </is>
      </c>
      <c r="B16" s="18">
        <f>SUM(B4:B15)</f>
        <v/>
      </c>
      <c r="C16" s="18">
        <f>SUM(C4:C15)</f>
        <v/>
      </c>
      <c r="D16" s="18">
        <f>SUM(D4:D15)</f>
        <v/>
      </c>
      <c r="E16" s="28">
        <f>D16/B16*100</f>
        <v/>
      </c>
      <c r="F16" s="29" t="inlineStr">
        <is>
          <t>🚨 CRITICAL</t>
        </is>
      </c>
      <c r="G16" s="30" t="inlineStr">
        <is>
          <t>Annual ITC mismatch ₹156 Cr — exceeds RBI 5% threshold. Flag for credit officer review.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31" t="inlineStr">
        <is>
          <t>INPUT TAX CREDIT BREAKUP BY CATEGORY — BAJAJ FINANCE LTD — FY 2023-24</t>
        </is>
      </c>
    </row>
    <row r="3">
      <c r="A3" s="4" t="inlineStr">
        <is>
          <t>Category</t>
        </is>
      </c>
      <c r="B3" s="4" t="inlineStr">
        <is>
          <t>IGST ITC (₹)</t>
        </is>
      </c>
      <c r="C3" s="4" t="inlineStr">
        <is>
          <t>CGST ITC (₹)</t>
        </is>
      </c>
      <c r="D3" s="4" t="inlineStr">
        <is>
          <t>SGST ITC (₹)</t>
        </is>
      </c>
      <c r="E3" s="4" t="inlineStr">
        <is>
          <t>Total ITC (₹)</t>
        </is>
      </c>
    </row>
    <row r="4" ht="17" customHeight="1">
      <c r="A4" s="32" t="inlineStr">
        <is>
          <t>IT &amp; Technology Services (TCS, Infosys)</t>
        </is>
      </c>
      <c r="B4" s="7" t="n">
        <v>850000000</v>
      </c>
      <c r="C4" s="7" t="n">
        <v>425000000</v>
      </c>
      <c r="D4" s="7" t="n">
        <v>425000000</v>
      </c>
      <c r="E4" s="8" t="n">
        <v>1700000000</v>
      </c>
    </row>
    <row r="5" ht="17" customHeight="1">
      <c r="A5" s="33" t="inlineStr">
        <is>
          <t>Professional &amp; Legal Fees</t>
        </is>
      </c>
      <c r="B5" s="13" t="n">
        <v>420000000</v>
      </c>
      <c r="C5" s="13" t="n">
        <v>210000000</v>
      </c>
      <c r="D5" s="13" t="n">
        <v>210000000</v>
      </c>
      <c r="E5" s="14" t="n">
        <v>840000000</v>
      </c>
    </row>
    <row r="6" ht="17" customHeight="1">
      <c r="A6" s="32" t="inlineStr">
        <is>
          <t>Marketing &amp; Advertising</t>
        </is>
      </c>
      <c r="B6" s="7" t="n">
        <v>310000000</v>
      </c>
      <c r="C6" s="7" t="n">
        <v>155000000</v>
      </c>
      <c r="D6" s="7" t="n">
        <v>155000000</v>
      </c>
      <c r="E6" s="8" t="n">
        <v>620000000</v>
      </c>
    </row>
    <row r="7" ht="17" customHeight="1">
      <c r="A7" s="33" t="inlineStr">
        <is>
          <t>Office Rent &amp; Utilities</t>
        </is>
      </c>
      <c r="B7" s="13" t="n">
        <v>280000000</v>
      </c>
      <c r="C7" s="13" t="n">
        <v>140000000</v>
      </c>
      <c r="D7" s="13" t="n">
        <v>140000000</v>
      </c>
      <c r="E7" s="14" t="n">
        <v>560000000</v>
      </c>
    </row>
    <row r="8" ht="17" customHeight="1">
      <c r="A8" s="32" t="inlineStr">
        <is>
          <t>Collections &amp; Outsourcing Services</t>
        </is>
      </c>
      <c r="B8" s="7" t="n">
        <v>240000000</v>
      </c>
      <c r="C8" s="7" t="n">
        <v>120000000</v>
      </c>
      <c r="D8" s="7" t="n">
        <v>120000000</v>
      </c>
      <c r="E8" s="8" t="n">
        <v>480000000</v>
      </c>
    </row>
    <row r="9" ht="17" customHeight="1">
      <c r="A9" s="33" t="inlineStr">
        <is>
          <t>Insurance Premiums</t>
        </is>
      </c>
      <c r="B9" s="13" t="n">
        <v>185000000</v>
      </c>
      <c r="C9" s="13" t="n">
        <v>92500000</v>
      </c>
      <c r="D9" s="13" t="n">
        <v>92500000</v>
      </c>
      <c r="E9" s="14" t="n">
        <v>370000000</v>
      </c>
    </row>
    <row r="10" ht="17" customHeight="1">
      <c r="A10" s="32" t="inlineStr">
        <is>
          <t>Audit &amp; Compliance Fees</t>
        </is>
      </c>
      <c r="B10" s="7" t="n">
        <v>165000000</v>
      </c>
      <c r="C10" s="7" t="n">
        <v>82500000</v>
      </c>
      <c r="D10" s="7" t="n">
        <v>82500000</v>
      </c>
      <c r="E10" s="8" t="n">
        <v>330000000</v>
      </c>
    </row>
    <row r="11" ht="17" customHeight="1">
      <c r="A11" s="33" t="inlineStr">
        <is>
          <t>Branch Setup &amp; Renovation</t>
        </is>
      </c>
      <c r="B11" s="13" t="n">
        <v>120000000</v>
      </c>
      <c r="C11" s="13" t="n">
        <v>60000000</v>
      </c>
      <c r="D11" s="13" t="n">
        <v>60000000</v>
      </c>
      <c r="E11" s="14" t="n">
        <v>240000000</v>
      </c>
    </row>
    <row r="12" ht="17" customHeight="1">
      <c r="A12" s="32" t="inlineStr">
        <is>
          <t>Other Input Services</t>
        </is>
      </c>
      <c r="B12" s="7" t="n">
        <v>98000000</v>
      </c>
      <c r="C12" s="7" t="n">
        <v>49000000</v>
      </c>
      <c r="D12" s="7" t="n">
        <v>49000000</v>
      </c>
      <c r="E12" s="8" t="n">
        <v>196000000</v>
      </c>
    </row>
    <row r="13">
      <c r="A13" s="34" t="inlineStr">
        <is>
          <t>GRAND TOTAL</t>
        </is>
      </c>
      <c r="B13" s="18">
        <f>SUM(B4:B12)</f>
        <v/>
      </c>
      <c r="C13" s="18">
        <f>SUM(C4:C12)</f>
        <v/>
      </c>
      <c r="D13" s="18">
        <f>SUM(D4:D12)</f>
        <v/>
      </c>
      <c r="E13" s="18">
        <f>SUM(E4:E12)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2026-03-08T09:14:03Z</dcterms:created>
  <dcterms:modified xmlns:dcterms="http://purl.org/dc/terms/" xmlns:xsi="http://www.w3.org/2001/XMLSchema-instance" xsi:type="dcterms:W3CDTF">2026-03-08T09:14:03Z</dcterms:modified>
</cp:coreProperties>
</file>